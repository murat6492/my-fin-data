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rat\Downloads\"/>
    </mc:Choice>
  </mc:AlternateContent>
  <xr:revisionPtr revIDLastSave="0" documentId="13_ncr:1_{4511052F-1622-45E4-A7B3-86A20FC5932A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Sayfa1" sheetId="8" r:id="rId6"/>
    <sheet name="Nakit Akış (Çeyreklik)" sheetId="6" r:id="rId7"/>
    <sheet name="Nakit Akış (Yıllıklan.)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2" i="8" l="1" a="1"/>
  <c r="C42" i="8" s="1"/>
  <c r="C49" i="8"/>
  <c r="C147" i="5"/>
  <c r="C51" i="5"/>
  <c r="B2" i="5" s="1"/>
  <c r="B148" i="5"/>
  <c r="B133" i="5"/>
  <c r="B132" i="5"/>
  <c r="B139" i="5"/>
  <c r="D13" i="1"/>
  <c r="C13" i="1"/>
  <c r="C29" i="7"/>
  <c r="C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<sst xmlns="http://schemas.openxmlformats.org/spreadsheetml/2006/main" count="963" uniqueCount="268">
  <si>
    <t>Kalem</t>
  </si>
  <si>
    <t>2025/6</t>
  </si>
  <si>
    <t>2025/3</t>
  </si>
  <si>
    <t>2024/12</t>
  </si>
  <si>
    <t>2024/9</t>
  </si>
  <si>
    <t>2024/6</t>
  </si>
  <si>
    <t>2024/3</t>
  </si>
  <si>
    <t>2023/12</t>
  </si>
  <si>
    <t>2023/9</t>
  </si>
  <si>
    <t>2023/6</t>
  </si>
  <si>
    <t>2023/3</t>
  </si>
  <si>
    <t>2022/12</t>
  </si>
  <si>
    <t>2022/9</t>
  </si>
  <si>
    <t>2022/6</t>
  </si>
  <si>
    <t>2022/3</t>
  </si>
  <si>
    <t>2021/12</t>
  </si>
  <si>
    <t>2021/9</t>
  </si>
  <si>
    <t>2021/6</t>
  </si>
  <si>
    <t>2021/3</t>
  </si>
  <si>
    <t>2020/12</t>
  </si>
  <si>
    <t>2020/9</t>
  </si>
  <si>
    <t>2020/6</t>
  </si>
  <si>
    <t>2020/3</t>
  </si>
  <si>
    <t>2019/12</t>
  </si>
  <si>
    <t>2019/9</t>
  </si>
  <si>
    <t>2019/6</t>
  </si>
  <si>
    <t>2019/3</t>
  </si>
  <si>
    <t>2018/12</t>
  </si>
  <si>
    <t>2018/9</t>
  </si>
  <si>
    <t>2018/6</t>
  </si>
  <si>
    <t>2018/3</t>
  </si>
  <si>
    <t>2017/12</t>
  </si>
  <si>
    <t>2017/9</t>
  </si>
  <si>
    <t>2017/6</t>
  </si>
  <si>
    <t>2017/3</t>
  </si>
  <si>
    <t>2016/12</t>
  </si>
  <si>
    <t>2016/9</t>
  </si>
  <si>
    <t>2016/6</t>
  </si>
  <si>
    <t>Dönen Varlıklar</t>
  </si>
  <si>
    <t xml:space="preserve">    Nakit ve Nakit Benzerleri</t>
  </si>
  <si>
    <t xml:space="preserve">    Gayrimenkul Projeleri Kapsamında Açılan Nakit Hesapları</t>
  </si>
  <si>
    <t xml:space="preserve">    Finansal Yatırımlar</t>
  </si>
  <si>
    <t xml:space="preserve">    Teminata Verilen Finansal Varlıklar</t>
  </si>
  <si>
    <t xml:space="preserve">    Ticari Alacaklar</t>
  </si>
  <si>
    <t xml:space="preserve">    Finans Sektörü Faaliyetlerinden Alacaklar</t>
  </si>
  <si>
    <t xml:space="preserve">    Türkiye Cumhuriyet Merkez Bankası Hesabı</t>
  </si>
  <si>
    <t xml:space="preserve">    Diğer Alacaklar</t>
  </si>
  <si>
    <t xml:space="preserve">    Müşteri Sözleşmelerinden Doğan Varlıklar</t>
  </si>
  <si>
    <t xml:space="preserve">    İmtiyaz Sözleşmelerine İlişkin Finansal Varlıklar</t>
  </si>
  <si>
    <t xml:space="preserve">    Türev Araçlar</t>
  </si>
  <si>
    <t xml:space="preserve">    Stoklar</t>
  </si>
  <si>
    <t xml:space="preserve">    Proje Halindeki Stoklar</t>
  </si>
  <si>
    <t xml:space="preserve">    Canlı Varlıklar</t>
  </si>
  <si>
    <t xml:space="preserve">    Peşin Ödenmiş Giderler</t>
  </si>
  <si>
    <t xml:space="preserve">    Ertelenmiş Sigortacılık Üretim Giderleri</t>
  </si>
  <si>
    <t xml:space="preserve">    Cari Dönem Vergisiyle İlgili Varlıklar</t>
  </si>
  <si>
    <t xml:space="preserve">    Nakit Dışı Serbest Kullanılabilir Teminatlar</t>
  </si>
  <si>
    <t xml:space="preserve">    Diğer Dönen Varlıklar</t>
  </si>
  <si>
    <t xml:space="preserve">    Satış Amacıyla Elde Tutulan Duran Varlıklar</t>
  </si>
  <si>
    <t xml:space="preserve">    Ortaklara Dağıtılmak Üzere Elde Tutulan Duran Varlıklar</t>
  </si>
  <si>
    <t xml:space="preserve">    Toplam Dönen Varlıklar</t>
  </si>
  <si>
    <t>Duran Varlıklar</t>
  </si>
  <si>
    <t xml:space="preserve">    İştirakler, İş Ortaklıkları ve Bağlı Ortaklıklardaki Yatırımlar</t>
  </si>
  <si>
    <t xml:space="preserve">    Özkaynak Yöntemiyle Değerlenen Yatırımlar</t>
  </si>
  <si>
    <t xml:space="preserve">    Yatırım Amaçlı Gayrimenkuller</t>
  </si>
  <si>
    <t xml:space="preserve">    Proje Halindeki Yatırım Amaçlı Gayrimenkuller</t>
  </si>
  <si>
    <t xml:space="preserve">    Maddi Duran Varlıklar</t>
  </si>
  <si>
    <t xml:space="preserve">    Kullanım Hakkı Varlıkları</t>
  </si>
  <si>
    <t xml:space="preserve">    Maddi Olmayan Duran Varlıklar</t>
  </si>
  <si>
    <t xml:space="preserve">    Ertelenmiş Vergi Varlığı</t>
  </si>
  <si>
    <t xml:space="preserve">    Cari Dönem Vergisiyle İlgili Duran Varlıklar</t>
  </si>
  <si>
    <t xml:space="preserve">    Diğer Duran Varlıklar</t>
  </si>
  <si>
    <t xml:space="preserve">    Toplam Duran Varlıklar</t>
  </si>
  <si>
    <t xml:space="preserve">    Toplam Varlıklar</t>
  </si>
  <si>
    <t>Kısa Vadeli Yükümlülükler</t>
  </si>
  <si>
    <t xml:space="preserve">    Finansal Borçlar</t>
  </si>
  <si>
    <t xml:space="preserve">    Diğer Finansal Yükümlülükler</t>
  </si>
  <si>
    <t xml:space="preserve">    Ticari Borçlar</t>
  </si>
  <si>
    <t xml:space="preserve">    Finans Sektörü Faaliyetlerinden Borçlar</t>
  </si>
  <si>
    <t xml:space="preserve">    Çalışanlara Sağlanan Faydalar Kapsamında Borçlar</t>
  </si>
  <si>
    <t xml:space="preserve">    Diğer Borçlar</t>
  </si>
  <si>
    <t xml:space="preserve">    Müşteri Sözleşmelerinden Doğan Yükümlülükler</t>
  </si>
  <si>
    <t xml:space="preserve">    Özkaynak Yöntemiyle Değerlenen Yatırımlardan Yükümlülükler</t>
  </si>
  <si>
    <t xml:space="preserve">    Devlet Teşvik ve Yardımları</t>
  </si>
  <si>
    <t xml:space="preserve">    Ertelenmiş Gelirler</t>
  </si>
  <si>
    <t xml:space="preserve">    Dönem Karı Vergi Yükümlülüğü</t>
  </si>
  <si>
    <t xml:space="preserve">    Kısa Vadeli Karşılıklar</t>
  </si>
  <si>
    <t xml:space="preserve">    Diğer Kısa Vadeli Yükümlülükler</t>
  </si>
  <si>
    <t xml:space="preserve">    Satış Amaçlı Sınıflandırılan Varlık Gruplarına İlişkin Yükümlülükler</t>
  </si>
  <si>
    <t xml:space="preserve">    Ortaklara Dağıtılmak Üzere Elde Tutulan Varlık Gruplarına İlişkin Yükümlülükler</t>
  </si>
  <si>
    <t xml:space="preserve">    Toplam Kısa Vadeli Yükümlülükler</t>
  </si>
  <si>
    <t>Uzun Vadeli Yükümlülükler</t>
  </si>
  <si>
    <t xml:space="preserve">    Uzun vadeli Karşılıklar</t>
  </si>
  <si>
    <t xml:space="preserve">    Cari Dönem Vergisiyle İlgili Borçlar</t>
  </si>
  <si>
    <t xml:space="preserve">    Ertelenmiş Vergi Yükümlülüğü</t>
  </si>
  <si>
    <t xml:space="preserve">    Diğer Uzun Vadeli Yükümlülükler</t>
  </si>
  <si>
    <t xml:space="preserve">    Toplam Uzun Vadeli Yükümlülükler</t>
  </si>
  <si>
    <t>Özkaynaklar</t>
  </si>
  <si>
    <t xml:space="preserve">    Ana Ortaklığa Ait Özkaynaklar</t>
  </si>
  <si>
    <t xml:space="preserve">    Ödenmiş Sermaye</t>
  </si>
  <si>
    <t xml:space="preserve">    Sermaye Düzeltme Farkları</t>
  </si>
  <si>
    <t xml:space="preserve">    Birleşme Denkleştirme Hesabı</t>
  </si>
  <si>
    <t xml:space="preserve">    Pay Sahiplerinin İlave Sermaye Katkıları</t>
  </si>
  <si>
    <t xml:space="preserve">    Sermaye Avansı</t>
  </si>
  <si>
    <t xml:space="preserve">    Geri Alınmış Paylar (-)</t>
  </si>
  <si>
    <t xml:space="preserve">    Karşılıklı İştirak Sermaye Düzeltmesi (-)</t>
  </si>
  <si>
    <t xml:space="preserve">    Paylara İlişkin Primler (İskontolar)</t>
  </si>
  <si>
    <t xml:space="preserve">    Ortak Kontrole Tabi Teşebbüs veya İşletmeleri İçeren Birleşmelerin Etkisi</t>
  </si>
  <si>
    <t xml:space="preserve">    Pay Bazlı Ödemeler (-)</t>
  </si>
  <si>
    <t xml:space="preserve">    Kar veya Zararda Yeniden Sınıflandırılmayacak Birikmiş Diğer Kapsamlı Gelirler (Giderler)</t>
  </si>
  <si>
    <t xml:space="preserve">    Kar veya Zararda Yeniden Sınıflandırılacak Birikmiş Diğer Kapsamlı Gelirler (Giderler)</t>
  </si>
  <si>
    <t xml:space="preserve">    Kardan Ayrılan Kısıtlanmış Yedekler</t>
  </si>
  <si>
    <t xml:space="preserve">    Diğer Özkaynak Payları</t>
  </si>
  <si>
    <t xml:space="preserve">    Diğer Yedekler</t>
  </si>
  <si>
    <t xml:space="preserve">    Ödenen Kar Payı Avansları (Net) (-)</t>
  </si>
  <si>
    <t xml:space="preserve">    Geçmiş Yıllar Kar/Zararları</t>
  </si>
  <si>
    <t xml:space="preserve">    Dönem Net Kar/Zararı</t>
  </si>
  <si>
    <t xml:space="preserve">    Azınlık Payları</t>
  </si>
  <si>
    <t xml:space="preserve">    Toplam Özkaynaklar</t>
  </si>
  <si>
    <t xml:space="preserve">    Toplam Kaynaklar</t>
  </si>
  <si>
    <t xml:space="preserve">    Hedge Dahil Net Yabancı Para Pozisyonu</t>
  </si>
  <si>
    <t>2016/3</t>
  </si>
  <si>
    <t/>
  </si>
  <si>
    <t xml:space="preserve">    Satış Gelirleri</t>
  </si>
  <si>
    <t xml:space="preserve">    Toplam Hasılat</t>
  </si>
  <si>
    <t xml:space="preserve">    Yurt İçi Satışlar</t>
  </si>
  <si>
    <t xml:space="preserve">    Yurt Dışı Satışlar</t>
  </si>
  <si>
    <t xml:space="preserve">    Satışların Maliyeti (-)</t>
  </si>
  <si>
    <t xml:space="preserve">    Ticari Faaliyetlerden Brüt Kar (Zarar)</t>
  </si>
  <si>
    <t xml:space="preserve">    Faiz, Ücret, Prim, Komisyon ve Diğer Gelirler</t>
  </si>
  <si>
    <t xml:space="preserve">    Faiz, Ücret, Prim, Komisyon ve Diğer Giderler (-)</t>
  </si>
  <si>
    <t xml:space="preserve">    Finans Sektörü Faaliyetlerinden Brüt Kar (Zarar)</t>
  </si>
  <si>
    <t xml:space="preserve">    Canlı Varlıklar Gerçeğe Uygun Değer Farkları</t>
  </si>
  <si>
    <t xml:space="preserve">    Brüt Kar (Zarar)</t>
  </si>
  <si>
    <t xml:space="preserve">    Genel Yönetim Giderleri (-)</t>
  </si>
  <si>
    <t xml:space="preserve">    Pazarlama, Satış ve Dağıtım Giderleri (-)</t>
  </si>
  <si>
    <t xml:space="preserve">    Araştırma ve Geliştirme Giderleri (-)</t>
  </si>
  <si>
    <t xml:space="preserve">    Diğer Faaliyet Gelirleri</t>
  </si>
  <si>
    <t xml:space="preserve">    Diğer Faaliyet Giderleri (-)</t>
  </si>
  <si>
    <t xml:space="preserve">    Diğer Kazançlar (Kayıplar)</t>
  </si>
  <si>
    <t xml:space="preserve">    Faaliyet Karı (Zararı)</t>
  </si>
  <si>
    <t xml:space="preserve">    Ödenecek Kar Paylarının Defter Değeri ile Dağıtılan Nakit Dışı Varlıkların Değeri Arasındaki Fark</t>
  </si>
  <si>
    <t xml:space="preserve">    İtfa Edilmiş Maliyetinden Ölçülen Finansal Varlıkların Finansal Tablo Dışı Bırakılmasından Kaynaklanan Kazançlar (Kayıplar)</t>
  </si>
  <si>
    <t xml:space="preserve">    Yatırım Faaliyetlerinden Gelirler</t>
  </si>
  <si>
    <t xml:space="preserve">    Yatırım Faaliyetlerinden Giderler (-)</t>
  </si>
  <si>
    <t xml:space="preserve">    TFRS 9 Uyarınca Belirlenen Değer Düşüklüğü Kazançları (Zararları) ve Değer Düşüklüğü Zararlarının İptalleri</t>
  </si>
  <si>
    <t xml:space="preserve">    Özkaynak Yöntemiyle Değerlenen Yatırımların Karlarından (Zararlarından) Paylar</t>
  </si>
  <si>
    <t xml:space="preserve">    İştirakler, Müşterek Kontrol Edilen İşletmeler ve Bağlı Ortaklıklardan Diğer Gelirler (Giderler)</t>
  </si>
  <si>
    <t xml:space="preserve">    İtfa Edilmiş Maliyetinden Ölçülen Finansal Varlıkların Gerçeğe Uygun Değer Farkı Kar veya Zarara Yansıtılan Olarak Sınıflandırılmasından Kazançlar (Kayıplar)</t>
  </si>
  <si>
    <t xml:space="preserve">    Gerçeğe Uygun Değer Farkı Diğer Kapsamlı Gelire Yansıtılan Finansal Varlıkların Gerçeğe Uygun Değer Farkı Kar veya Zarara Yansıtılan Olarak Sınıflandırılmasından Kazançlar (Kayıplar)</t>
  </si>
  <si>
    <t xml:space="preserve">    Risk Pozisyonlarını Netleştiren Kalemler Grubuna Yönelik Finansal Riskten Korunma Kazançları (Kayıpları)</t>
  </si>
  <si>
    <t xml:space="preserve">    Finansman Geliri (Gideri) Öncesi Faaliyet Karı (Zararı)</t>
  </si>
  <si>
    <t xml:space="preserve">    (Esas Faaliyet Dışı) Finansal Gelirler</t>
  </si>
  <si>
    <t xml:space="preserve">    (Esas Faaliyet Dışı) Finansal Giderler (-)</t>
  </si>
  <si>
    <t xml:space="preserve">    Net Parasal Pozisyon Kazançları (Kayıpları)</t>
  </si>
  <si>
    <t xml:space="preserve">    Sürdürülen Faaliyetler Vergi Öncesi Karı (Zararı)</t>
  </si>
  <si>
    <t xml:space="preserve">    Sürdürülen Faaliyetler Vergi Geliri (Gideri)</t>
  </si>
  <si>
    <t xml:space="preserve">    Dönem Vergi Geliri (Gideri)</t>
  </si>
  <si>
    <t xml:space="preserve">    Ertelenmiş Vergi Geliri (Gideri)</t>
  </si>
  <si>
    <t xml:space="preserve">    Sürdürülen Faaliyetler Dönem Karı/Zararı</t>
  </si>
  <si>
    <t xml:space="preserve">    Durdurulan Faaliyetler Dönem Karı/Zararı</t>
  </si>
  <si>
    <t xml:space="preserve">    Dönem Karı (Zararı)</t>
  </si>
  <si>
    <t xml:space="preserve">    Ana Ortaklık Payları</t>
  </si>
  <si>
    <t xml:space="preserve">    Amortisman</t>
  </si>
  <si>
    <t xml:space="preserve">    İşletme Faaliyetlerinden Nakit Akışları</t>
  </si>
  <si>
    <t xml:space="preserve">    Dönem Net Karı (Zararı) Mutabakatı İle İlgili Düzeltmeler</t>
  </si>
  <si>
    <t xml:space="preserve">    Amortisman ve İtfa Gideri İle İlgili Düzeltmeler</t>
  </si>
  <si>
    <t xml:space="preserve">    Değer Düşüklüğü (İptali) İle İlgili Düzeltmeler</t>
  </si>
  <si>
    <t xml:space="preserve">    Karşılıklar İle İlgili Düzeltmeler</t>
  </si>
  <si>
    <t xml:space="preserve">    Kar Payı (Geliri) Gideri ile İlgili Düzeltmeler</t>
  </si>
  <si>
    <t xml:space="preserve">    Katılım (Kar) Payı ve Diğer Finansal Araçlardan (Gelirler) Giderler ile İlgili Düzeltmeler</t>
  </si>
  <si>
    <t xml:space="preserve">    Pazarlıklı Satın Alım Sonucu Oluşan Kazanç ile İlgili Düzeltmeler</t>
  </si>
  <si>
    <t xml:space="preserve">    Faiz (Gelirleri) ve Giderleri İle İlgili Düzeltmeler</t>
  </si>
  <si>
    <t xml:space="preserve">    Devlet Teşviklerinden Elde Edilen Gelirler ile İlgili Düzeltmeler</t>
  </si>
  <si>
    <t xml:space="preserve">    Takas İşlemlerinden Kaynaklanan Kayıplar (Kazançlar) ile İlgili Düzeltmeler</t>
  </si>
  <si>
    <t xml:space="preserve">    Gerçekleşmemiş Yabancı Para Çevrim Farkları İle İlgili Düzeltmeler</t>
  </si>
  <si>
    <t xml:space="preserve">    Pay Bazlı Ödemeler İle İlgili Düzeltmeler</t>
  </si>
  <si>
    <t xml:space="preserve">    Hibe Krediler ile İlgili Düzeltmeler</t>
  </si>
  <si>
    <t xml:space="preserve">    Gerçeğe Uygun Değer Kayıpları (Kazançları) İle İlgili Düzeltmeler</t>
  </si>
  <si>
    <t xml:space="preserve">    Özkaynak Yöntemiyle Değerlenen Yatırımların Dağıtılmamış Karları ile İlgili Düzeltmeler</t>
  </si>
  <si>
    <t xml:space="preserve">    Vergi (Geliri) Gideri İle İlgili Düzeltmeler</t>
  </si>
  <si>
    <t xml:space="preserve">    Nakit Dışı Kalemlere İlişkin Diğer Düzeltmeler</t>
  </si>
  <si>
    <t xml:space="preserve">    Duran Varlıkların Elden Çıkarılmasından Kaynaklanan Kayıplar (Kazançlar) İle İlgili Düzeltmeler</t>
  </si>
  <si>
    <t xml:space="preserve">    Satış Amaçlı veya Ortaklara Dağıtılmak Üzere Elde Tutulan Duran Varlıkların Elden Çıkarılmasından Kaynaklanan Kayıplar (Kazançlar) ile İlgili Düzeltmeler</t>
  </si>
  <si>
    <t xml:space="preserve">    İştirak, İş ortaklığı ve Finansal Yatırımların Elden Çıkarılmasından veya Paylarındaki Değişim Sebebi ile Oluşan Kayıplar (Kazançlar) ile İlgili Düzeltmeler</t>
  </si>
  <si>
    <t xml:space="preserve">    Bağlı Ortaklıkların veya Müşterek Faaliyetlerin Elden Çıkarılmasından Kaynaklanan Kayıplar (Kazançlar) ile İlgili Düzeltmeler</t>
  </si>
  <si>
    <t xml:space="preserve">    Yatırım ya da Finansman Faaliyetlerinden Kaynaklanan Nakit Akışlarına Neden Olan Diğer Kalemlere İlişkin Düzeltmeler</t>
  </si>
  <si>
    <t xml:space="preserve">    Kar (Zarar) Mutabakatı İle İlgili Diğer Düzeltmeler</t>
  </si>
  <si>
    <t xml:space="preserve">    İşletme Sermayesinde Gerçekleşen Değişimler</t>
  </si>
  <si>
    <t xml:space="preserve">    Finansal Yatırımlardaki Azalış (Artış)</t>
  </si>
  <si>
    <t xml:space="preserve">    Türkiye Cumhuriyet Merkez Bankası Hesabındaki Azalış (Artış)</t>
  </si>
  <si>
    <t xml:space="preserve">    Ticari Alacaklardaki Azalış (Artış) ile İlgili Düzeltmeler</t>
  </si>
  <si>
    <t xml:space="preserve">    Finans Sektörü Faaliyetlerinden Alacaklarda Azalış (Artış)</t>
  </si>
  <si>
    <t xml:space="preserve">    Faaliyetlerle İlgili Diğer Alacaklardaki Azalış (Artış) ile İlgili Düzeltmeler</t>
  </si>
  <si>
    <t xml:space="preserve">    Müşteri Sözleşmelerinden Doğan Varlıklardaki Azalış (Artış) İle İlgili Düzeltmeler</t>
  </si>
  <si>
    <t xml:space="preserve">    İmtiyaz Sözleşmelerine İlişkin Finansal Varlıklardaki Azalış (Artış)</t>
  </si>
  <si>
    <t xml:space="preserve">    Türev Varlıklardaki Azalış (Artış)</t>
  </si>
  <si>
    <t xml:space="preserve">    Stoklardaki Azalışlar (Artışlar) İle İlgili Düzeltmeler</t>
  </si>
  <si>
    <t xml:space="preserve">    Canlı Varlıklardaki Azalış (Artış)</t>
  </si>
  <si>
    <t xml:space="preserve">    Peşin Ödenmiş Giderlerdeki Azalış (Artış)</t>
  </si>
  <si>
    <t xml:space="preserve">    Ticari Borçlardaki Artış (Azalış) ile İlgili Düzeltmeler</t>
  </si>
  <si>
    <t xml:space="preserve">    Finans Sektörü Faaliyetlerinden Borçlardaki Artış (Azalış)</t>
  </si>
  <si>
    <t xml:space="preserve">    Çalışanlara Sağlanan Faydalar Kapsamında Borçlardaki Artış (Azalış)</t>
  </si>
  <si>
    <t xml:space="preserve">    Müşteri Sözleşmelerinden Doğan Yükümlülüklerdeki Artış (Azalış) İle İlgili Düzeltmeler</t>
  </si>
  <si>
    <t xml:space="preserve">    Faaliyetler ile İlgili Diğer Borçlardaki Artış (Azalış) ile İlgili Düzeltmeler</t>
  </si>
  <si>
    <t xml:space="preserve">    Türev Yükümlülüklerdeki Artış (Azalış)</t>
  </si>
  <si>
    <t xml:space="preserve">    Devlet Teşvik ve Yardımlarındaki Artış (Azalış)</t>
  </si>
  <si>
    <t xml:space="preserve">    Ertelenmiş Gelirlerdeki Artış (Azalış)</t>
  </si>
  <si>
    <t xml:space="preserve">    İşletme Sermayesinde Gerçekleşen Diğer Artış (Azalış) ile İlgili Düzeltmeler</t>
  </si>
  <si>
    <t xml:space="preserve">    Faaliyetlerden Elde Edilen Nakit Akışları</t>
  </si>
  <si>
    <t xml:space="preserve">    Ödenen Temettüler</t>
  </si>
  <si>
    <t xml:space="preserve">    Alınan Temettüler</t>
  </si>
  <si>
    <t xml:space="preserve">    Ödenen Faiz</t>
  </si>
  <si>
    <t xml:space="preserve">    Alınan Faiz</t>
  </si>
  <si>
    <t xml:space="preserve">    Vergi İadeleri (Ödemeleri)</t>
  </si>
  <si>
    <t xml:space="preserve">    Katılım (Kar) Payı ve Diğer Finansal Araçlardan Nakit Çıkışları</t>
  </si>
  <si>
    <t xml:space="preserve">    Katılım (Kar) Payı ve Diğer Finansal Araçlardan Nakit Girişleri</t>
  </si>
  <si>
    <t xml:space="preserve">    Kira Ödemeleri</t>
  </si>
  <si>
    <t xml:space="preserve">    Alınan Kira</t>
  </si>
  <si>
    <t xml:space="preserve">    Başka İşletmelerin veya Fonların Paylarının veya Borçlanma Araçlarının Edinimi İçin Yapılan Nakit Çıkışları</t>
  </si>
  <si>
    <t xml:space="preserve">    Başka İşletmelerin veya Fonların Paylarının veya Borçlanma Araçlarının Satılması Sonucu Elde Edilen Nakit Girişleri</t>
  </si>
  <si>
    <t xml:space="preserve">    İştirakler, İş Ortaklıkları ve/veya Müşterek Faaliyetlerin Sermaye Artırımına Katılımdan Kaynaklanan Nakit Çıkışları</t>
  </si>
  <si>
    <t xml:space="preserve">    Çalışanlara Sağlanan Faydalara İlişkin Karşılıklar Kapsamında Yapılan Ödemeler</t>
  </si>
  <si>
    <t xml:space="preserve">    Diğer Karşılıklara İlişkin Ödemeler</t>
  </si>
  <si>
    <t xml:space="preserve">    Diğer Nakit Girişleri (Çıkışları)</t>
  </si>
  <si>
    <t xml:space="preserve">    Durdurulan Faaliyetlere İlişkin Net Nakit Akışları</t>
  </si>
  <si>
    <t xml:space="preserve">    Yatırım Faaliyetlerinden Kaynaklanan Nakit Akışları</t>
  </si>
  <si>
    <t xml:space="preserve">    Bağlı Ortaklıkların Kontrolünün Kaybı Sonucunu Doğuracak Satışlara İlişkin Nakit Girişleri</t>
  </si>
  <si>
    <t xml:space="preserve">    Bağlı Ortaklıkların Kontrolünün Kaybı Sonucunu Doğurmayan Satışlara İlişkin Nakit Girişleri</t>
  </si>
  <si>
    <t xml:space="preserve">    Bağlı Ortaklıkların Kontrolünün Elde Edilmesine Yönelik Alışlara İlişkin Nakit Çıkışları</t>
  </si>
  <si>
    <t xml:space="preserve">    Bağlı Ortaklıklarda İlave Pay Alımlarına ilişkin Nakit Çıkışları</t>
  </si>
  <si>
    <t xml:space="preserve">    İştiraklerin ve/veya İş Ortaklıklarının Pay Satışı veya Sermaye Azaltımı Sebebiyle Oluşan Nakit Girişleri</t>
  </si>
  <si>
    <t xml:space="preserve">    İştiraklar ve/veya İş Ortaklıkları Pay Alımı veya Sermaye Artırımı Sebebiyle Oluşan Nakit Çıkışları</t>
  </si>
  <si>
    <t xml:space="preserve">    İştirakler ve/veya İş Ortaklıkları Sermaye Avansı Ödemelerinden Nakit Çıkışları</t>
  </si>
  <si>
    <t xml:space="preserve">    Maddi ve Maddi Olmayan Duran Varlıkların Satışından Kaynaklanan Nakit Girişleri</t>
  </si>
  <si>
    <t xml:space="preserve">    Maddi ve Maddi Olmayan Duran Varlıkların Alımından Kaynaklanan Nakit Çıkışları</t>
  </si>
  <si>
    <t xml:space="preserve">    Yatırım Amaçlı Gayrimenkul Satımından Kaynaklanan Nakit Girişleri</t>
  </si>
  <si>
    <t xml:space="preserve">    Yatırım Amaçlı Gayrimenkul Alımından Kaynaklanan Nakit Çıkışları</t>
  </si>
  <si>
    <t xml:space="preserve">    Satış Amacıyla Elde Tutulan Duran Varlık Satışlarından Kaynaklanan Nakit Girişleri</t>
  </si>
  <si>
    <t xml:space="preserve">    Satış Amacıyla Elde Tutulan Duran Varlık Alımlarından Nakit Çıkışları</t>
  </si>
  <si>
    <t xml:space="preserve">    Canlı Varlık Satışından Kaynaklanan Nakit Girişleri</t>
  </si>
  <si>
    <t xml:space="preserve">    Canlı Varlık Alımından Kaynaklanan Nakit Çıkışları</t>
  </si>
  <si>
    <t xml:space="preserve">    Diğer Uzun Vadeli Varlıkların Satışından Kaynaklanan Nakit Girişleri</t>
  </si>
  <si>
    <t xml:space="preserve">    Diğer Uzun Vadeli Varlık Alımından Kaynaklanan Nakit Çıkışları</t>
  </si>
  <si>
    <t xml:space="preserve">    Verilen Nakit Avans ve Borçlar</t>
  </si>
  <si>
    <t xml:space="preserve">    Verilen Nakit Avans ve Borçlardan Geri Ödemeler</t>
  </si>
  <si>
    <t xml:space="preserve">    Türev Araçlardan Nakit Girişleri</t>
  </si>
  <si>
    <t xml:space="preserve">    Türev Araçlardan Nakit Çıkışları</t>
  </si>
  <si>
    <t xml:space="preserve">    Devlet Teşviklerinden Elde Edilen Nakit Girişleri</t>
  </si>
  <si>
    <t xml:space="preserve">    Finansman Faaliyetlerinden Nakit Akışları</t>
  </si>
  <si>
    <t xml:space="preserve">    Bağlı Ortaklıklardaki Kontrolün Kaybına Yol Açmayan Şekilde Ortaklık Payları Değişmelerinden Kaynaklanan Nakit Girişleri</t>
  </si>
  <si>
    <t xml:space="preserve">    Bağlı Ortaklıklardaki Kontrolün Kaybına Yol Açmayan Şekilde Ortaklık Payları Değişmelerinden Kaynaklanan Nakit Çıkışları</t>
  </si>
  <si>
    <t xml:space="preserve">    Pay ve Diğer Özkaynağa Dayalı Araçların İhracından Kaynaklanan Nakit Girişleri</t>
  </si>
  <si>
    <t xml:space="preserve">    Sermaye Avanslarından Nakit Girişleri</t>
  </si>
  <si>
    <t xml:space="preserve">    İşletmenin Kendi Paylarını ve Diğer Özkaynağa Dayalı Araçlarını Almasıyla İlgili Nakit Çıkışları</t>
  </si>
  <si>
    <t xml:space="preserve">    İşletmenin Kendi Paylarını ve Diğer Özkaynağa Dayalı Araçlarını Satmasından Kaynaklanan Nakit Girişleri</t>
  </si>
  <si>
    <t xml:space="preserve">    Ortak Kontrole Tabi İşletmelerin Birleşme Etkisinden Kaynaklanan Nakit Girişleri (Çıkışları)</t>
  </si>
  <si>
    <t xml:space="preserve">    Borçlanmadan Kaynaklanan Nakit Girişleri</t>
  </si>
  <si>
    <t xml:space="preserve">    Borç Ödemelerine İlişkin Nakit Çıkışları</t>
  </si>
  <si>
    <t xml:space="preserve">    İlişkili Taraflardan Alınan Diğer Borçlardaki Artış</t>
  </si>
  <si>
    <t xml:space="preserve">    İlişkili Taraflardan Alınan Diğer Borçlardaki Azalış</t>
  </si>
  <si>
    <t xml:space="preserve">    Kira Sözleşmelerinden Kaynaklanan Borç Ödemelerine İlişkin Nakit Çıkışları</t>
  </si>
  <si>
    <t xml:space="preserve">    Yabancı Para Çevrim Farklarının Etkisinden Önce Nakit ve Nakit Benzerlerindeki Net Artış (Azalış)</t>
  </si>
  <si>
    <t xml:space="preserve">    Yabancı Para Çevrim Farklarının Nakit ve Nakit Benzerleri Üzerindeki Etkisi</t>
  </si>
  <si>
    <t xml:space="preserve">    Nakit ve Nakit Benzerlerindeki Net Artış (Azalış)</t>
  </si>
  <si>
    <t xml:space="preserve">    Dönem Başı Nakit ve Nakit Benzerleri</t>
  </si>
  <si>
    <t xml:space="preserve">    Dönem Sonu Nakit ve Nakit Benzerleri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</si>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</sst>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NumberFormat="1"/>
    <xf numFmtId="41" fontId="0" fillId="0" borderId="0" xfId="1" applyNumberFormat="1" applyFont="1"/>
    <xf numFmtId="41" fontId="0" fillId="2" borderId="0" xfId="1" applyNumberFormat="1" applyFont="1" applyFill="1"/>
    <xf numFmtId="0" fontId="2" fillId="0" borderId="0" xfId="0" applyNumberFormat="1" applyFont="1"/>
    <xf numFmtId="41" fontId="2" fillId="2" borderId="0" xfId="1" applyNumberFormat="1" applyFont="1" applyFill="1"/>
    <xf numFmtId="0" fontId="2" fillId="2" borderId="0" xfId="0" applyNumberFormat="1" applyFont="1" applyFill="1"/>
    <xf numFmtId="0" fontId="2" fillId="3" borderId="0" xfId="0" applyNumberFormat="1" applyFont="1" applyFill="1"/>
    <xf numFmtId="41" fontId="2" fillId="0" borderId="0" xfId="0" applyNumberFormat="1" applyFont="1"/>
    <xf numFmtId="0" fontId="2" fillId="0" borderId="0" xfId="0" applyNumberFormat="1" applyFont="1" applyFill="1"/>
    <xf numFmtId="41" fontId="2" fillId="3" borderId="0" xfId="1" applyNumberFormat="1" applyFont="1" applyFill="1"/>
    <xf numFmtId="0" fontId="0" fillId="3" borderId="0" xfId="0" applyNumberFormat="1" applyFill="1"/>
    <xf numFmtId="41" fontId="0" fillId="3" borderId="0" xfId="1" applyNumberFormat="1" applyFont="1" applyFill="1"/>
    <xf numFmtId="0" fontId="0" fillId="4" borderId="0" xfId="0" applyNumberFormat="1" applyFill="1"/>
    <xf numFmtId="41" fontId="0" fillId="4" borderId="0" xfId="1" applyNumberFormat="1" applyFont="1" applyFill="1"/>
    <xf numFmtId="41" fontId="0" fillId="0" borderId="0" xfId="0" applyNumberFormat="1"/>
    <xf numFmtId="43" fontId="3" fillId="0" borderId="0" xfId="1" applyFont="1"/>
    <xf numFmtId="41" fontId="0" fillId="4" borderId="1" xfId="1" applyNumberFormat="1" applyFont="1" applyFill="1" applyBorder="1"/>
    <xf numFmtId="0" fontId="0" fillId="3" borderId="1" xfId="0" applyNumberFormat="1" applyFill="1" applyBorder="1"/>
    <xf numFmtId="41" fontId="0" fillId="3" borderId="1" xfId="1" applyNumberFormat="1" applyFont="1" applyFill="1" applyBorder="1"/>
    <xf numFmtId="0" fontId="0" fillId="5" borderId="0" xfId="0" applyNumberFormat="1" applyFill="1"/>
    <xf numFmtId="41" fontId="0" fillId="5" borderId="0" xfId="1" applyNumberFormat="1" applyFont="1" applyFill="1"/>
    <xf numFmtId="0" fontId="0" fillId="6" borderId="0" xfId="0" applyNumberFormat="1" applyFill="1"/>
    <xf numFmtId="41" fontId="0" fillId="6" borderId="0" xfId="1" applyNumberFormat="1" applyFont="1" applyFill="1"/>
    <xf numFmtId="0" fontId="0" fillId="7" borderId="0" xfId="0" applyNumberFormat="1" applyFill="1"/>
    <xf numFmtId="41" fontId="0" fillId="7" borderId="0" xfId="1" applyNumberFormat="1" applyFont="1" applyFill="1"/>
    <xf numFmtId="0" fontId="0" fillId="8" borderId="0" xfId="0" applyNumberFormat="1" applyFill="1"/>
    <xf numFmtId="41" fontId="4" fillId="8" borderId="0" xfId="1" applyNumberFormat="1" applyFont="1" applyFill="1"/>
    <xf numFmtId="0" fontId="0" fillId="4" borderId="1" xfId="0" applyNumberFormat="1" applyFont="1" applyFill="1" applyBorder="1"/>
    <xf numFmtId="41" fontId="0" fillId="5" borderId="0" xfId="0" applyNumberFormat="1" applyFill="1"/>
    <xf numFmtId="0" fontId="4" fillId="4" borderId="0" xfId="0" applyNumberFormat="1" applyFont="1" applyFill="1"/>
    <xf numFmtId="0" fontId="5" fillId="4" borderId="0" xfId="0" applyNumberFormat="1" applyFont="1" applyFill="1"/>
    <xf numFmtId="41" fontId="5" fillId="4" borderId="0" xfId="1" applyNumberFormat="1" applyFont="1" applyFill="1"/>
    <xf numFmtId="0" fontId="4" fillId="4" borderId="1" xfId="0" applyNumberFormat="1" applyFont="1" applyFill="1" applyBorder="1"/>
    <xf numFmtId="0" fontId="2" fillId="9" borderId="0" xfId="0" applyNumberFormat="1" applyFont="1" applyFill="1"/>
  </cellXfs>
  <cellStyles count="2">
    <cellStyle name="Normal" xfId="0" builtinId="0"/>
    <cellStyle name="Virgül" xfId="1" builtin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8"/>
  <sheetViews>
    <sheetView workbookViewId="0">
      <selection activeCell="C13" sqref="C13:D13"/>
    </sheetView>
  </sheetViews>
  <sheetFormatPr defaultRowHeight="15.75" x14ac:dyDescent="0.25"/>
  <cols>
    <col min="1" max="1" width="48.875" customWidth="1"/>
    <col min="2" max="38" width="20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s="2"/>
    </row>
    <row r="3" spans="1:38" x14ac:dyDescent="0.25">
      <c r="A3" t="s">
        <v>39</v>
      </c>
      <c r="B3" s="2">
        <v>15791773000</v>
      </c>
      <c r="C3">
        <v>13602904412.831802</v>
      </c>
      <c r="D3">
        <v>19411361000</v>
      </c>
      <c r="E3">
        <v>4459680843.7509899</v>
      </c>
      <c r="F3">
        <v>2591221799.9646449</v>
      </c>
      <c r="G3">
        <v>4499905851.6361542</v>
      </c>
      <c r="H3">
        <v>11134752051.341938</v>
      </c>
      <c r="I3">
        <v>1727103000</v>
      </c>
      <c r="J3">
        <v>1279194000</v>
      </c>
      <c r="K3">
        <v>3649397000</v>
      </c>
      <c r="L3">
        <v>15785048260.672913</v>
      </c>
      <c r="M3">
        <v>1351755000</v>
      </c>
      <c r="N3">
        <v>2222948000</v>
      </c>
      <c r="O3">
        <v>2154327000</v>
      </c>
      <c r="P3">
        <v>2492096000</v>
      </c>
      <c r="Q3">
        <v>1310898000</v>
      </c>
      <c r="R3">
        <v>2510004000</v>
      </c>
      <c r="S3">
        <v>3148661000</v>
      </c>
      <c r="T3">
        <v>4081654000</v>
      </c>
      <c r="U3">
        <v>1941336000</v>
      </c>
      <c r="V3">
        <v>1648572000</v>
      </c>
      <c r="W3">
        <v>1823976000</v>
      </c>
      <c r="X3">
        <v>3513842000</v>
      </c>
      <c r="Y3">
        <v>1764066000</v>
      </c>
      <c r="Z3">
        <v>1612347000</v>
      </c>
      <c r="AA3">
        <v>2555032000</v>
      </c>
      <c r="AB3">
        <v>3115691000</v>
      </c>
      <c r="AC3">
        <v>3082520000</v>
      </c>
      <c r="AD3">
        <v>3446981000</v>
      </c>
      <c r="AE3">
        <v>480402000</v>
      </c>
      <c r="AF3">
        <v>1262904000</v>
      </c>
      <c r="AG3">
        <v>332173000</v>
      </c>
      <c r="AH3">
        <v>681737000</v>
      </c>
      <c r="AI3">
        <v>876144000</v>
      </c>
      <c r="AJ3">
        <v>1168776000</v>
      </c>
      <c r="AK3">
        <v>820877000</v>
      </c>
      <c r="AL3">
        <v>552264000</v>
      </c>
    </row>
    <row r="4" spans="1:38" x14ac:dyDescent="0.25">
      <c r="A4" t="s">
        <v>40</v>
      </c>
      <c r="B4" s="2"/>
    </row>
    <row r="5" spans="1:38" x14ac:dyDescent="0.25">
      <c r="A5" t="s">
        <v>41</v>
      </c>
      <c r="B5" s="2"/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2179000</v>
      </c>
      <c r="R5">
        <v>2952000</v>
      </c>
      <c r="S5">
        <v>7730000</v>
      </c>
      <c r="T5">
        <v>17914000</v>
      </c>
      <c r="U5">
        <v>0</v>
      </c>
      <c r="V5">
        <v>0</v>
      </c>
      <c r="W5">
        <v>2630000</v>
      </c>
      <c r="X5">
        <v>6039000</v>
      </c>
      <c r="Y5">
        <v>0</v>
      </c>
      <c r="Z5">
        <v>10015000</v>
      </c>
      <c r="AB5">
        <v>0</v>
      </c>
    </row>
    <row r="6" spans="1:38" x14ac:dyDescent="0.25">
      <c r="A6" t="s">
        <v>42</v>
      </c>
      <c r="B6" s="2"/>
    </row>
    <row r="7" spans="1:38" x14ac:dyDescent="0.25">
      <c r="A7" t="s">
        <v>43</v>
      </c>
      <c r="B7" s="2">
        <v>26261371000</v>
      </c>
      <c r="C7">
        <v>29343961218.466236</v>
      </c>
      <c r="D7">
        <v>33083419000</v>
      </c>
      <c r="E7">
        <v>33298657271.784054</v>
      </c>
      <c r="F7">
        <v>34519504997.852791</v>
      </c>
      <c r="G7">
        <v>28494228022.295242</v>
      </c>
      <c r="H7">
        <v>34689616676.917923</v>
      </c>
      <c r="I7">
        <v>20134641000</v>
      </c>
      <c r="J7">
        <v>17645145000</v>
      </c>
      <c r="K7">
        <v>13955576000</v>
      </c>
      <c r="L7">
        <v>41324660493.288086</v>
      </c>
      <c r="M7">
        <v>12458878000</v>
      </c>
      <c r="N7">
        <v>11149778000</v>
      </c>
      <c r="O7">
        <v>9965070000</v>
      </c>
      <c r="P7">
        <v>9803350000</v>
      </c>
      <c r="Q7">
        <v>5994604000</v>
      </c>
      <c r="R7">
        <v>6987402000</v>
      </c>
      <c r="S7">
        <v>7151641000</v>
      </c>
      <c r="T7">
        <v>7146519000</v>
      </c>
      <c r="U7">
        <v>5308440000</v>
      </c>
      <c r="V7">
        <v>5451974000</v>
      </c>
      <c r="W7">
        <v>4904275000</v>
      </c>
      <c r="X7">
        <v>3884933000</v>
      </c>
      <c r="Y7">
        <v>3231770000</v>
      </c>
      <c r="Z7">
        <v>3177003000</v>
      </c>
      <c r="AA7">
        <v>2972026000</v>
      </c>
      <c r="AB7">
        <v>3072113000</v>
      </c>
      <c r="AC7">
        <v>2868518000</v>
      </c>
      <c r="AD7">
        <v>2153454000</v>
      </c>
      <c r="AE7">
        <v>2188302000</v>
      </c>
      <c r="AF7">
        <v>1581229000</v>
      </c>
      <c r="AG7">
        <v>1554123000</v>
      </c>
      <c r="AH7">
        <v>1468216000</v>
      </c>
      <c r="AI7">
        <v>1844063000</v>
      </c>
      <c r="AJ7">
        <v>2039695000</v>
      </c>
      <c r="AK7">
        <v>1237680000</v>
      </c>
      <c r="AL7">
        <v>1183354000</v>
      </c>
    </row>
    <row r="8" spans="1:38" x14ac:dyDescent="0.25">
      <c r="A8" t="s">
        <v>44</v>
      </c>
      <c r="B8" s="2"/>
    </row>
    <row r="9" spans="1:38" x14ac:dyDescent="0.25">
      <c r="A9" t="s">
        <v>45</v>
      </c>
      <c r="B9" s="2"/>
    </row>
    <row r="10" spans="1:38" x14ac:dyDescent="0.25">
      <c r="A10" t="s">
        <v>46</v>
      </c>
      <c r="B10" s="2">
        <v>2863248000</v>
      </c>
      <c r="C10">
        <v>3364002459.6895108</v>
      </c>
      <c r="D10">
        <v>2899869000</v>
      </c>
      <c r="E10">
        <v>2430287225.3103528</v>
      </c>
      <c r="F10">
        <v>1825034047.6180212</v>
      </c>
      <c r="G10">
        <v>2666075487.2281461</v>
      </c>
      <c r="H10">
        <v>2780315261.1908889</v>
      </c>
      <c r="I10">
        <v>1096826000</v>
      </c>
      <c r="J10">
        <v>795429000</v>
      </c>
      <c r="K10">
        <v>1029251000</v>
      </c>
      <c r="L10">
        <v>2849592804.7359872</v>
      </c>
      <c r="M10">
        <v>593732000</v>
      </c>
      <c r="N10">
        <v>498016000</v>
      </c>
      <c r="O10">
        <v>676566000</v>
      </c>
      <c r="P10">
        <v>722508000</v>
      </c>
      <c r="Q10">
        <v>489860000</v>
      </c>
      <c r="R10">
        <v>538370000</v>
      </c>
      <c r="S10">
        <v>626309000</v>
      </c>
      <c r="T10">
        <v>672391000</v>
      </c>
      <c r="U10">
        <v>471023000</v>
      </c>
      <c r="V10">
        <v>433793000</v>
      </c>
      <c r="W10">
        <v>387602000</v>
      </c>
      <c r="X10">
        <v>380554000</v>
      </c>
      <c r="Y10">
        <v>314486000</v>
      </c>
      <c r="Z10">
        <v>261200000</v>
      </c>
      <c r="AA10">
        <v>245971000</v>
      </c>
      <c r="AB10">
        <v>204117000</v>
      </c>
      <c r="AC10">
        <v>107923000</v>
      </c>
      <c r="AD10">
        <v>112840000</v>
      </c>
      <c r="AE10">
        <v>99602000</v>
      </c>
      <c r="AF10">
        <v>112761000</v>
      </c>
      <c r="AG10">
        <v>95249000</v>
      </c>
      <c r="AH10">
        <v>100498000</v>
      </c>
      <c r="AI10">
        <v>97220000</v>
      </c>
      <c r="AJ10">
        <v>84712000</v>
      </c>
      <c r="AK10">
        <v>52461000</v>
      </c>
      <c r="AL10">
        <v>66851000</v>
      </c>
    </row>
    <row r="11" spans="1:38" x14ac:dyDescent="0.25">
      <c r="A11" t="s">
        <v>47</v>
      </c>
      <c r="B11" s="2"/>
    </row>
    <row r="12" spans="1:38" x14ac:dyDescent="0.25">
      <c r="A12" t="s">
        <v>48</v>
      </c>
      <c r="B12" s="2"/>
    </row>
    <row r="13" spans="1:38" x14ac:dyDescent="0.25">
      <c r="A13" t="s">
        <v>49</v>
      </c>
      <c r="B13" s="2"/>
      <c r="C13" s="14">
        <f>B14-C14</f>
        <v>3663747759.7717514</v>
      </c>
      <c r="D13" s="14">
        <f>C14-D14</f>
        <v>-1425907759.7717514</v>
      </c>
    </row>
    <row r="14" spans="1:38" x14ac:dyDescent="0.25">
      <c r="A14" t="s">
        <v>50</v>
      </c>
      <c r="B14" s="2">
        <v>52958051000</v>
      </c>
      <c r="C14">
        <v>49294303240.228249</v>
      </c>
      <c r="D14">
        <v>50720211000</v>
      </c>
      <c r="E14">
        <v>52261489400.346779</v>
      </c>
      <c r="F14">
        <v>51001496749.759621</v>
      </c>
      <c r="G14">
        <v>53146117477.00132</v>
      </c>
      <c r="H14">
        <v>54201864954.025818</v>
      </c>
      <c r="I14">
        <v>19759068000</v>
      </c>
      <c r="J14">
        <v>17098047000</v>
      </c>
      <c r="K14">
        <v>14508815000</v>
      </c>
      <c r="L14">
        <v>46573776698.749046</v>
      </c>
      <c r="M14">
        <v>11432151000</v>
      </c>
      <c r="N14">
        <v>9955227000</v>
      </c>
      <c r="O14">
        <v>8812709000</v>
      </c>
      <c r="P14">
        <v>7638954000</v>
      </c>
      <c r="Q14">
        <v>7314535000</v>
      </c>
      <c r="R14">
        <v>6665005000</v>
      </c>
      <c r="S14">
        <v>5860320000</v>
      </c>
      <c r="T14">
        <v>5532703000</v>
      </c>
      <c r="U14">
        <v>6002675000</v>
      </c>
      <c r="V14">
        <v>5366428000</v>
      </c>
      <c r="W14">
        <v>5010570000</v>
      </c>
      <c r="X14">
        <v>4473927000</v>
      </c>
      <c r="Y14">
        <v>4935497000</v>
      </c>
      <c r="Z14">
        <v>4547655000</v>
      </c>
      <c r="AA14">
        <v>4047612000</v>
      </c>
      <c r="AB14">
        <v>3576618000</v>
      </c>
      <c r="AC14">
        <v>3457104000</v>
      </c>
      <c r="AD14">
        <v>2922018000</v>
      </c>
      <c r="AE14">
        <v>2506513000</v>
      </c>
      <c r="AF14">
        <v>2221631000</v>
      </c>
      <c r="AG14">
        <v>1704187000</v>
      </c>
      <c r="AH14">
        <v>1429456000</v>
      </c>
      <c r="AI14">
        <v>1317083000</v>
      </c>
      <c r="AJ14">
        <v>1187398000</v>
      </c>
      <c r="AK14">
        <v>1241548000</v>
      </c>
      <c r="AL14">
        <v>1057208000</v>
      </c>
    </row>
    <row r="15" spans="1:38" x14ac:dyDescent="0.25">
      <c r="A15" t="s">
        <v>51</v>
      </c>
      <c r="B15" s="2"/>
    </row>
    <row r="16" spans="1:38" x14ac:dyDescent="0.25">
      <c r="A16" t="s">
        <v>52</v>
      </c>
      <c r="B16" s="2"/>
    </row>
    <row r="17" spans="1:38" x14ac:dyDescent="0.25">
      <c r="A17" t="s">
        <v>53</v>
      </c>
      <c r="B17" s="2">
        <v>19136067000</v>
      </c>
      <c r="C17">
        <v>18494658781.953438</v>
      </c>
      <c r="D17">
        <v>14248299000</v>
      </c>
      <c r="E17">
        <v>18479644293.599773</v>
      </c>
      <c r="F17">
        <v>18614927284.380135</v>
      </c>
      <c r="G17">
        <v>16878728557.287554</v>
      </c>
      <c r="H17">
        <v>15316065701.376396</v>
      </c>
      <c r="I17">
        <v>5356073000</v>
      </c>
      <c r="J17">
        <v>5361181000</v>
      </c>
      <c r="K17">
        <v>3848158000</v>
      </c>
      <c r="L17">
        <v>13662659358.576517</v>
      </c>
      <c r="M17">
        <v>3280447000</v>
      </c>
      <c r="N17">
        <v>2986007000</v>
      </c>
      <c r="O17">
        <v>2128897000</v>
      </c>
      <c r="P17">
        <v>2027017000</v>
      </c>
      <c r="Q17">
        <v>1832792000</v>
      </c>
      <c r="R17">
        <v>1976847000</v>
      </c>
      <c r="S17">
        <v>1944230000</v>
      </c>
      <c r="T17">
        <v>1778726000</v>
      </c>
      <c r="U17">
        <v>1543960000</v>
      </c>
      <c r="V17">
        <v>1670449000</v>
      </c>
      <c r="W17">
        <v>1475619000</v>
      </c>
      <c r="X17">
        <v>1320266000</v>
      </c>
      <c r="Y17">
        <v>1519523000</v>
      </c>
      <c r="Z17">
        <v>1553617000</v>
      </c>
      <c r="AA17">
        <v>1445160000</v>
      </c>
      <c r="AB17">
        <v>1319330000</v>
      </c>
      <c r="AC17">
        <v>1119641000</v>
      </c>
      <c r="AD17">
        <v>950121000</v>
      </c>
      <c r="AE17">
        <v>915534000</v>
      </c>
      <c r="AF17">
        <v>657683000</v>
      </c>
      <c r="AG17">
        <v>756077000</v>
      </c>
      <c r="AH17">
        <v>664591000</v>
      </c>
      <c r="AI17">
        <v>606041000</v>
      </c>
      <c r="AJ17">
        <v>380150000</v>
      </c>
      <c r="AK17">
        <v>370164000</v>
      </c>
      <c r="AL17">
        <v>449717000</v>
      </c>
    </row>
    <row r="18" spans="1:38" x14ac:dyDescent="0.25">
      <c r="A18" t="s">
        <v>54</v>
      </c>
      <c r="B18" s="2"/>
    </row>
    <row r="19" spans="1:38" x14ac:dyDescent="0.25">
      <c r="A19" t="s">
        <v>55</v>
      </c>
      <c r="B19" s="2"/>
    </row>
    <row r="20" spans="1:38" x14ac:dyDescent="0.25">
      <c r="A20" t="s">
        <v>56</v>
      </c>
      <c r="B20" s="2"/>
    </row>
    <row r="21" spans="1:38" x14ac:dyDescent="0.25">
      <c r="A21" t="s">
        <v>57</v>
      </c>
      <c r="B21" s="2">
        <v>4472391000</v>
      </c>
      <c r="C21">
        <v>4268520712.0442414</v>
      </c>
      <c r="D21">
        <v>3450028000</v>
      </c>
      <c r="E21">
        <v>4019922767.2316885</v>
      </c>
      <c r="F21">
        <v>4587975617.0724669</v>
      </c>
      <c r="G21">
        <v>3702373476.7722859</v>
      </c>
      <c r="H21">
        <v>4652091792.6766129</v>
      </c>
      <c r="I21">
        <v>2165349000</v>
      </c>
      <c r="J21">
        <v>1111302000</v>
      </c>
      <c r="K21">
        <v>1580329000</v>
      </c>
      <c r="L21">
        <v>2636679094.2626038</v>
      </c>
      <c r="M21">
        <v>934280000</v>
      </c>
      <c r="N21">
        <v>848720000</v>
      </c>
      <c r="O21">
        <v>681834000</v>
      </c>
      <c r="P21">
        <v>491217000</v>
      </c>
      <c r="Q21">
        <v>594801000</v>
      </c>
      <c r="R21">
        <v>597679000</v>
      </c>
      <c r="S21">
        <v>551888000</v>
      </c>
      <c r="T21">
        <v>364354000</v>
      </c>
      <c r="U21">
        <v>434207000</v>
      </c>
      <c r="V21">
        <v>382639000</v>
      </c>
      <c r="W21">
        <v>469262000</v>
      </c>
      <c r="X21">
        <v>396937000</v>
      </c>
      <c r="Y21">
        <v>323845000</v>
      </c>
      <c r="Z21">
        <v>384631000</v>
      </c>
      <c r="AA21">
        <v>405952000</v>
      </c>
      <c r="AB21">
        <v>328811000</v>
      </c>
      <c r="AC21">
        <v>368254000</v>
      </c>
      <c r="AD21">
        <v>319504000</v>
      </c>
      <c r="AE21">
        <v>283596000</v>
      </c>
      <c r="AF21">
        <v>222179000</v>
      </c>
      <c r="AG21">
        <v>255714000</v>
      </c>
      <c r="AH21">
        <v>240198000</v>
      </c>
      <c r="AI21">
        <v>232292000</v>
      </c>
      <c r="AJ21">
        <v>201707000</v>
      </c>
      <c r="AK21">
        <v>169472000</v>
      </c>
      <c r="AL21">
        <v>166716000</v>
      </c>
    </row>
    <row r="22" spans="1:38" x14ac:dyDescent="0.25">
      <c r="A22" t="s">
        <v>58</v>
      </c>
      <c r="B22" s="2"/>
    </row>
    <row r="23" spans="1:38" x14ac:dyDescent="0.25">
      <c r="A23" t="s">
        <v>59</v>
      </c>
      <c r="B23" s="2"/>
    </row>
    <row r="24" spans="1:38" x14ac:dyDescent="0.25">
      <c r="A24" t="s">
        <v>60</v>
      </c>
      <c r="B24" s="2">
        <v>121482901000</v>
      </c>
      <c r="C24">
        <v>118368350825.21347</v>
      </c>
      <c r="D24">
        <v>123813187000</v>
      </c>
      <c r="E24">
        <v>114949681802.02365</v>
      </c>
      <c r="F24">
        <v>113140160496.64769</v>
      </c>
      <c r="G24">
        <v>109387428872.2207</v>
      </c>
      <c r="H24">
        <v>122774706437.52957</v>
      </c>
      <c r="I24">
        <v>50239060000</v>
      </c>
      <c r="J24">
        <v>43290298000</v>
      </c>
      <c r="K24">
        <v>38571526000</v>
      </c>
      <c r="L24">
        <v>122832416710.28513</v>
      </c>
      <c r="M24">
        <v>30051243000</v>
      </c>
      <c r="N24">
        <v>27660696000</v>
      </c>
      <c r="O24">
        <v>24419403000</v>
      </c>
      <c r="P24">
        <v>23175142000</v>
      </c>
      <c r="Q24">
        <v>17539669000</v>
      </c>
      <c r="R24">
        <v>19278259000</v>
      </c>
      <c r="S24">
        <v>19290779000</v>
      </c>
      <c r="T24">
        <v>19594261000</v>
      </c>
      <c r="U24">
        <v>15701641000</v>
      </c>
      <c r="V24">
        <v>14953855000</v>
      </c>
      <c r="W24">
        <v>14073934000</v>
      </c>
      <c r="X24">
        <v>13976498000</v>
      </c>
      <c r="Y24">
        <v>12089187000</v>
      </c>
      <c r="Z24">
        <v>11546468000</v>
      </c>
      <c r="AA24">
        <v>11671753000</v>
      </c>
      <c r="AB24">
        <v>11616680000</v>
      </c>
      <c r="AC24">
        <v>11003960000</v>
      </c>
      <c r="AD24">
        <v>9904918000</v>
      </c>
      <c r="AE24">
        <v>6473949000</v>
      </c>
      <c r="AF24">
        <v>6058387000</v>
      </c>
      <c r="AG24">
        <v>4697523000</v>
      </c>
      <c r="AH24">
        <v>4584696000</v>
      </c>
      <c r="AI24">
        <v>4972843000</v>
      </c>
      <c r="AJ24">
        <v>5062438000</v>
      </c>
      <c r="AK24">
        <v>3892202000</v>
      </c>
      <c r="AL24">
        <v>3476110000</v>
      </c>
    </row>
    <row r="25" spans="1:38" x14ac:dyDescent="0.25">
      <c r="A25" t="s">
        <v>61</v>
      </c>
      <c r="B25" s="2"/>
    </row>
    <row r="26" spans="1:38" x14ac:dyDescent="0.25">
      <c r="A26" t="s">
        <v>41</v>
      </c>
      <c r="B26" s="2">
        <v>9436816000</v>
      </c>
      <c r="C26">
        <v>9436909161.5702496</v>
      </c>
      <c r="D26">
        <v>9438233000</v>
      </c>
      <c r="E26">
        <v>9968965225.516201</v>
      </c>
      <c r="F26">
        <v>9969910392.3442097</v>
      </c>
      <c r="G26">
        <v>9970553531.5101414</v>
      </c>
      <c r="H26">
        <v>9970339224.9762535</v>
      </c>
      <c r="I26">
        <v>4296191000</v>
      </c>
      <c r="J26">
        <v>4295031000</v>
      </c>
      <c r="K26">
        <v>4288401000</v>
      </c>
      <c r="L26">
        <v>11914030929.01935</v>
      </c>
      <c r="M26">
        <v>2160304000</v>
      </c>
      <c r="N26">
        <v>2160304000</v>
      </c>
      <c r="O26">
        <v>2149727000</v>
      </c>
      <c r="P26">
        <v>2148927000</v>
      </c>
      <c r="Q26">
        <v>1184559000</v>
      </c>
      <c r="R26">
        <v>1183715000</v>
      </c>
      <c r="S26">
        <v>1183715000</v>
      </c>
      <c r="T26">
        <v>1183215000</v>
      </c>
      <c r="U26">
        <v>988465000</v>
      </c>
      <c r="V26">
        <v>988464000</v>
      </c>
      <c r="W26">
        <v>988464000</v>
      </c>
      <c r="X26">
        <v>988464000</v>
      </c>
      <c r="Y26">
        <v>774058000</v>
      </c>
      <c r="Z26">
        <v>774058000</v>
      </c>
      <c r="AA26">
        <v>778665000</v>
      </c>
      <c r="AB26">
        <v>778665000</v>
      </c>
      <c r="AC26">
        <v>569179000</v>
      </c>
      <c r="AD26">
        <v>569179000</v>
      </c>
      <c r="AE26">
        <v>568914000</v>
      </c>
      <c r="AF26">
        <v>568914000</v>
      </c>
      <c r="AG26">
        <v>516180000</v>
      </c>
      <c r="AH26">
        <v>516179000</v>
      </c>
      <c r="AI26">
        <v>516179000</v>
      </c>
      <c r="AJ26">
        <v>516179000</v>
      </c>
      <c r="AK26">
        <v>433501000</v>
      </c>
      <c r="AL26">
        <v>433501000</v>
      </c>
    </row>
    <row r="27" spans="1:38" x14ac:dyDescent="0.25">
      <c r="A27" t="s">
        <v>62</v>
      </c>
      <c r="B27" s="2"/>
    </row>
    <row r="28" spans="1:38" x14ac:dyDescent="0.25">
      <c r="A28" t="s">
        <v>43</v>
      </c>
      <c r="B28" s="2">
        <v>60358643000</v>
      </c>
      <c r="C28">
        <v>66709289923.931107</v>
      </c>
      <c r="D28">
        <v>64146126000</v>
      </c>
      <c r="E28">
        <v>52986999590.370369</v>
      </c>
      <c r="F28">
        <v>48711511783.420799</v>
      </c>
      <c r="G28">
        <v>46627860994.428535</v>
      </c>
      <c r="H28">
        <v>53246688154.100319</v>
      </c>
      <c r="I28">
        <v>24820772000</v>
      </c>
      <c r="J28">
        <v>23017374000</v>
      </c>
      <c r="K28">
        <v>18957230000</v>
      </c>
      <c r="L28">
        <v>52664750555.254982</v>
      </c>
      <c r="M28">
        <v>14771092000</v>
      </c>
      <c r="N28">
        <v>13961201000</v>
      </c>
      <c r="O28">
        <v>13369948000</v>
      </c>
      <c r="P28">
        <v>12650467000</v>
      </c>
      <c r="Q28">
        <v>9053690000</v>
      </c>
      <c r="R28">
        <v>8619527000</v>
      </c>
      <c r="S28">
        <v>7835717000</v>
      </c>
      <c r="T28">
        <v>7469380000</v>
      </c>
      <c r="U28">
        <v>6603155000</v>
      </c>
      <c r="V28">
        <v>5824867000</v>
      </c>
      <c r="W28">
        <v>6052184000</v>
      </c>
      <c r="X28">
        <v>5584899000</v>
      </c>
      <c r="Y28">
        <v>4610037000</v>
      </c>
      <c r="Z28">
        <v>4187912000</v>
      </c>
      <c r="AA28">
        <v>3418066000</v>
      </c>
      <c r="AB28">
        <v>2826939000</v>
      </c>
      <c r="AC28">
        <v>2183511000</v>
      </c>
      <c r="AD28">
        <v>1833110000</v>
      </c>
      <c r="AE28">
        <v>1477700000</v>
      </c>
      <c r="AF28">
        <v>1574956000</v>
      </c>
      <c r="AG28">
        <v>1167799000</v>
      </c>
      <c r="AH28">
        <v>866412000</v>
      </c>
      <c r="AI28">
        <v>307486000</v>
      </c>
      <c r="AJ28">
        <v>385592000</v>
      </c>
      <c r="AK28">
        <v>499162000</v>
      </c>
      <c r="AL28">
        <v>383064000</v>
      </c>
    </row>
    <row r="29" spans="1:38" x14ac:dyDescent="0.25">
      <c r="A29" t="s">
        <v>44</v>
      </c>
      <c r="B29" s="2"/>
    </row>
    <row r="30" spans="1:38" x14ac:dyDescent="0.25">
      <c r="A30" t="s">
        <v>46</v>
      </c>
      <c r="B30" s="2">
        <v>14835000</v>
      </c>
      <c r="C30">
        <v>13415150.608016407</v>
      </c>
      <c r="D30">
        <v>13882000</v>
      </c>
      <c r="E30">
        <v>11289232.609969283</v>
      </c>
      <c r="F30">
        <v>11171224.917970587</v>
      </c>
      <c r="G30">
        <v>11193693.681145333</v>
      </c>
      <c r="H30">
        <v>12261263.351399675</v>
      </c>
      <c r="I30">
        <v>7178000</v>
      </c>
      <c r="J30">
        <v>3124000</v>
      </c>
      <c r="K30">
        <v>6056000</v>
      </c>
      <c r="L30">
        <v>16607720.869322032</v>
      </c>
      <c r="M30">
        <v>6414000</v>
      </c>
      <c r="N30">
        <v>2293000</v>
      </c>
      <c r="O30">
        <v>2076000</v>
      </c>
      <c r="P30">
        <v>2104000</v>
      </c>
      <c r="Q30">
        <v>2939000</v>
      </c>
      <c r="R30">
        <v>2429000</v>
      </c>
      <c r="S30">
        <v>2710000</v>
      </c>
      <c r="T30">
        <v>1235000</v>
      </c>
      <c r="U30">
        <v>1515000</v>
      </c>
      <c r="V30">
        <v>1484000</v>
      </c>
      <c r="W30">
        <v>1370000</v>
      </c>
      <c r="X30">
        <v>1064000</v>
      </c>
      <c r="Y30">
        <v>672000</v>
      </c>
      <c r="Z30">
        <v>717000</v>
      </c>
      <c r="AA30">
        <v>784000</v>
      </c>
      <c r="AB30">
        <v>764000</v>
      </c>
      <c r="AC30">
        <v>1106000</v>
      </c>
      <c r="AD30">
        <v>957000</v>
      </c>
      <c r="AE30">
        <v>666000</v>
      </c>
      <c r="AF30">
        <v>661000</v>
      </c>
      <c r="AG30">
        <v>664000</v>
      </c>
      <c r="AH30">
        <v>673000</v>
      </c>
      <c r="AI30">
        <v>299000</v>
      </c>
      <c r="AJ30">
        <v>295000</v>
      </c>
      <c r="AK30">
        <v>290000</v>
      </c>
      <c r="AL30">
        <v>278000</v>
      </c>
    </row>
    <row r="31" spans="1:38" x14ac:dyDescent="0.25">
      <c r="A31" t="s">
        <v>47</v>
      </c>
      <c r="B31" s="2"/>
    </row>
    <row r="32" spans="1:38" x14ac:dyDescent="0.25">
      <c r="A32" t="s">
        <v>48</v>
      </c>
      <c r="B32" s="2"/>
    </row>
    <row r="33" spans="1:38" x14ac:dyDescent="0.25">
      <c r="A33" t="s">
        <v>49</v>
      </c>
      <c r="B33" s="2"/>
    </row>
    <row r="34" spans="1:38" x14ac:dyDescent="0.25">
      <c r="A34" t="s">
        <v>50</v>
      </c>
      <c r="B34" s="2"/>
    </row>
    <row r="35" spans="1:38" x14ac:dyDescent="0.25">
      <c r="A35" t="s">
        <v>63</v>
      </c>
      <c r="B35" s="2">
        <v>1304504000</v>
      </c>
      <c r="C35">
        <v>1445980444.5880954</v>
      </c>
      <c r="D35">
        <v>1554406000</v>
      </c>
      <c r="E35">
        <v>1429591296.335149</v>
      </c>
      <c r="F35">
        <v>1419522094.3607743</v>
      </c>
      <c r="G35">
        <v>1382999447.0219262</v>
      </c>
      <c r="H35">
        <v>1448411173.9621167</v>
      </c>
      <c r="I35">
        <v>464827000</v>
      </c>
      <c r="J35">
        <v>383396000</v>
      </c>
      <c r="K35">
        <v>305735000</v>
      </c>
      <c r="L35">
        <v>2278173669.9222322</v>
      </c>
      <c r="M35">
        <v>272074000</v>
      </c>
      <c r="N35">
        <v>259131000</v>
      </c>
      <c r="O35">
        <v>240015000</v>
      </c>
      <c r="P35">
        <v>219833000</v>
      </c>
      <c r="Q35">
        <v>139415000</v>
      </c>
      <c r="R35">
        <v>155472000</v>
      </c>
      <c r="S35">
        <v>155041000</v>
      </c>
      <c r="T35">
        <v>150210000</v>
      </c>
      <c r="U35">
        <v>124357000</v>
      </c>
      <c r="V35">
        <v>120063000</v>
      </c>
      <c r="W35">
        <v>117082000</v>
      </c>
      <c r="X35">
        <v>121769000</v>
      </c>
      <c r="Y35">
        <v>129089000</v>
      </c>
      <c r="Z35">
        <v>114742000</v>
      </c>
      <c r="AA35">
        <v>94803000</v>
      </c>
      <c r="AB35">
        <v>93586000</v>
      </c>
      <c r="AC35">
        <v>104656000</v>
      </c>
      <c r="AD35">
        <v>89317000</v>
      </c>
      <c r="AE35">
        <v>85413000</v>
      </c>
      <c r="AF35">
        <v>83324000</v>
      </c>
      <c r="AG35">
        <v>72060000</v>
      </c>
      <c r="AH35">
        <v>74429000</v>
      </c>
      <c r="AI35">
        <v>78971000</v>
      </c>
      <c r="AJ35">
        <v>57387000</v>
      </c>
      <c r="AK35">
        <v>48190000</v>
      </c>
      <c r="AL35">
        <v>43200000</v>
      </c>
    </row>
    <row r="36" spans="1:38" x14ac:dyDescent="0.25">
      <c r="A36" t="s">
        <v>52</v>
      </c>
      <c r="B36" s="2"/>
    </row>
    <row r="37" spans="1:38" x14ac:dyDescent="0.25">
      <c r="A37" t="s">
        <v>64</v>
      </c>
      <c r="B37" s="2"/>
    </row>
    <row r="38" spans="1:38" x14ac:dyDescent="0.25">
      <c r="A38" t="s">
        <v>65</v>
      </c>
      <c r="B38" s="2"/>
    </row>
    <row r="39" spans="1:38" x14ac:dyDescent="0.25">
      <c r="A39" t="s">
        <v>66</v>
      </c>
      <c r="B39" s="2">
        <v>45717452000</v>
      </c>
      <c r="C39">
        <v>44022082267.043243</v>
      </c>
      <c r="D39">
        <v>43646625000</v>
      </c>
      <c r="E39">
        <v>41580723490.020432</v>
      </c>
      <c r="F39">
        <v>40486602903.504951</v>
      </c>
      <c r="G39">
        <v>39837675054.256432</v>
      </c>
      <c r="H39">
        <v>39973395129.943573</v>
      </c>
      <c r="I39">
        <v>8270922000</v>
      </c>
      <c r="J39">
        <v>7413177000</v>
      </c>
      <c r="K39">
        <v>6731178000</v>
      </c>
      <c r="L39">
        <v>31087103098.226288</v>
      </c>
      <c r="M39">
        <v>4720173000</v>
      </c>
      <c r="N39">
        <v>4208114000</v>
      </c>
      <c r="O39">
        <v>3711169000</v>
      </c>
      <c r="P39">
        <v>3432149000</v>
      </c>
      <c r="Q39">
        <v>2906639000</v>
      </c>
      <c r="R39">
        <v>2674455000</v>
      </c>
      <c r="S39">
        <v>2505729000</v>
      </c>
      <c r="T39">
        <v>2342223000</v>
      </c>
      <c r="U39">
        <v>1860568000</v>
      </c>
      <c r="V39">
        <v>1771340000</v>
      </c>
      <c r="W39">
        <v>1688883000</v>
      </c>
      <c r="X39">
        <v>1573931000</v>
      </c>
      <c r="Y39">
        <v>1466074000</v>
      </c>
      <c r="Z39">
        <v>1433183000</v>
      </c>
      <c r="AA39">
        <v>1418672000</v>
      </c>
      <c r="AB39">
        <v>1336297000</v>
      </c>
      <c r="AC39">
        <v>1242264000</v>
      </c>
      <c r="AD39">
        <v>1139405000</v>
      </c>
      <c r="AE39">
        <v>1112198000</v>
      </c>
      <c r="AF39">
        <v>1090843000</v>
      </c>
      <c r="AG39">
        <v>1017255000</v>
      </c>
      <c r="AH39">
        <v>987752000</v>
      </c>
      <c r="AI39">
        <v>980264000</v>
      </c>
      <c r="AJ39">
        <v>967522000</v>
      </c>
      <c r="AK39">
        <v>922602000</v>
      </c>
      <c r="AL39">
        <v>920732000</v>
      </c>
    </row>
    <row r="40" spans="1:38" x14ac:dyDescent="0.25">
      <c r="A40" t="s">
        <v>67</v>
      </c>
      <c r="B40" s="2"/>
    </row>
    <row r="41" spans="1:38" x14ac:dyDescent="0.25">
      <c r="A41" t="s">
        <v>68</v>
      </c>
      <c r="B41" s="2">
        <v>29546259000</v>
      </c>
      <c r="C41">
        <v>27956027934.44659</v>
      </c>
      <c r="D41">
        <v>25471543000</v>
      </c>
      <c r="E41">
        <v>27496951388.023724</v>
      </c>
      <c r="F41">
        <v>24876721617.193195</v>
      </c>
      <c r="G41">
        <v>22236875662.883804</v>
      </c>
      <c r="H41">
        <v>20463193313.575832</v>
      </c>
      <c r="I41">
        <v>6175760000</v>
      </c>
      <c r="J41">
        <v>4889599000</v>
      </c>
      <c r="K41">
        <v>4196113000</v>
      </c>
      <c r="L41">
        <v>15381527304.859682</v>
      </c>
      <c r="M41">
        <v>3369648000</v>
      </c>
      <c r="N41">
        <v>2866673000</v>
      </c>
      <c r="O41">
        <v>2583816000</v>
      </c>
      <c r="P41">
        <v>2267610000</v>
      </c>
      <c r="Q41">
        <v>2031788000</v>
      </c>
      <c r="R41">
        <v>1894773000</v>
      </c>
      <c r="S41">
        <v>1717468000</v>
      </c>
      <c r="T41">
        <v>1555318000</v>
      </c>
      <c r="U41">
        <v>1518497000</v>
      </c>
      <c r="V41">
        <v>1438930000</v>
      </c>
      <c r="W41">
        <v>1382447000</v>
      </c>
      <c r="X41">
        <v>1276578000</v>
      </c>
      <c r="Y41">
        <v>1228844000</v>
      </c>
      <c r="Z41">
        <v>1179192000</v>
      </c>
      <c r="AA41">
        <v>1150568000</v>
      </c>
      <c r="AB41">
        <v>1082067000</v>
      </c>
      <c r="AC41">
        <v>969087000</v>
      </c>
      <c r="AD41">
        <v>942015000</v>
      </c>
      <c r="AE41">
        <v>955644000</v>
      </c>
      <c r="AF41">
        <v>891216000</v>
      </c>
      <c r="AG41">
        <v>843882000</v>
      </c>
      <c r="AH41">
        <v>797686000</v>
      </c>
      <c r="AI41">
        <v>750740000</v>
      </c>
      <c r="AJ41">
        <v>697131000</v>
      </c>
      <c r="AK41">
        <v>619801000</v>
      </c>
      <c r="AL41">
        <v>579300000</v>
      </c>
    </row>
    <row r="42" spans="1:38" x14ac:dyDescent="0.25">
      <c r="A42" t="s">
        <v>53</v>
      </c>
      <c r="B42" s="2">
        <v>4039994000</v>
      </c>
      <c r="C42">
        <v>4058201256.4194551</v>
      </c>
      <c r="D42">
        <v>4362079000</v>
      </c>
      <c r="E42">
        <v>3611687749.4576755</v>
      </c>
      <c r="F42">
        <v>3058563079.9166989</v>
      </c>
      <c r="G42">
        <v>3829909263.4624472</v>
      </c>
      <c r="H42">
        <v>4142866089.7319846</v>
      </c>
      <c r="I42">
        <v>1023290000</v>
      </c>
      <c r="J42">
        <v>513976000</v>
      </c>
      <c r="K42">
        <v>883814000</v>
      </c>
      <c r="L42">
        <v>3651146537.5824203</v>
      </c>
      <c r="M42">
        <v>721081000</v>
      </c>
      <c r="N42">
        <v>553429000</v>
      </c>
      <c r="O42">
        <v>820629000</v>
      </c>
      <c r="P42">
        <v>817736000</v>
      </c>
      <c r="Q42">
        <v>737597000</v>
      </c>
      <c r="R42">
        <v>409456000</v>
      </c>
      <c r="S42">
        <v>375028000</v>
      </c>
      <c r="T42">
        <v>373625000</v>
      </c>
      <c r="U42">
        <v>612957000</v>
      </c>
      <c r="V42">
        <v>367962000</v>
      </c>
      <c r="W42">
        <v>477999000</v>
      </c>
      <c r="X42">
        <v>584653000</v>
      </c>
      <c r="Y42">
        <v>497123000</v>
      </c>
      <c r="Z42">
        <v>490160000</v>
      </c>
      <c r="AA42">
        <v>464511000</v>
      </c>
      <c r="AB42">
        <v>504399000</v>
      </c>
      <c r="AC42">
        <v>687714000</v>
      </c>
      <c r="AD42">
        <v>590821000</v>
      </c>
      <c r="AE42">
        <v>529712000</v>
      </c>
      <c r="AF42">
        <v>442731000</v>
      </c>
      <c r="AG42">
        <v>441555000</v>
      </c>
      <c r="AH42">
        <v>446541000</v>
      </c>
      <c r="AI42">
        <v>386823000</v>
      </c>
      <c r="AJ42">
        <v>393699000</v>
      </c>
      <c r="AK42">
        <v>371015000</v>
      </c>
      <c r="AL42">
        <v>286612000</v>
      </c>
    </row>
    <row r="43" spans="1:38" x14ac:dyDescent="0.25">
      <c r="A43" t="s">
        <v>69</v>
      </c>
      <c r="B43" s="2">
        <v>17062350000</v>
      </c>
      <c r="C43">
        <v>13255938052.902334</v>
      </c>
      <c r="D43">
        <v>9506699000</v>
      </c>
      <c r="E43">
        <v>10065524431.223677</v>
      </c>
      <c r="F43">
        <v>7466733564.3968639</v>
      </c>
      <c r="G43">
        <v>3812102711.5079908</v>
      </c>
      <c r="H43">
        <v>1210500195.6342776</v>
      </c>
      <c r="I43">
        <v>2838490000</v>
      </c>
      <c r="J43">
        <v>2477837000</v>
      </c>
      <c r="K43">
        <v>2162294000</v>
      </c>
      <c r="L43">
        <v>0</v>
      </c>
      <c r="M43">
        <v>687176000</v>
      </c>
      <c r="N43">
        <v>343403000</v>
      </c>
      <c r="O43">
        <v>560328000</v>
      </c>
      <c r="P43">
        <v>253422000</v>
      </c>
      <c r="Q43">
        <v>405072000</v>
      </c>
      <c r="R43">
        <v>278899000</v>
      </c>
      <c r="S43">
        <v>253308000</v>
      </c>
      <c r="T43">
        <v>352900000</v>
      </c>
      <c r="U43">
        <v>546593000</v>
      </c>
      <c r="V43">
        <v>660474000</v>
      </c>
      <c r="W43">
        <v>731702000</v>
      </c>
      <c r="X43">
        <v>785951000</v>
      </c>
      <c r="Y43">
        <v>861664000</v>
      </c>
      <c r="Z43">
        <v>760277000</v>
      </c>
      <c r="AA43">
        <v>708658000</v>
      </c>
      <c r="AB43">
        <v>734092000</v>
      </c>
      <c r="AC43">
        <v>621200000</v>
      </c>
      <c r="AD43">
        <v>690936000</v>
      </c>
      <c r="AE43">
        <v>689186000</v>
      </c>
      <c r="AF43">
        <v>650775000</v>
      </c>
      <c r="AG43">
        <v>503213000</v>
      </c>
      <c r="AH43">
        <v>507708000</v>
      </c>
      <c r="AI43">
        <v>429186000</v>
      </c>
      <c r="AJ43">
        <v>384573000</v>
      </c>
      <c r="AK43">
        <v>364063000</v>
      </c>
      <c r="AL43">
        <v>355498000</v>
      </c>
    </row>
    <row r="44" spans="1:38" x14ac:dyDescent="0.25">
      <c r="A44" t="s">
        <v>70</v>
      </c>
      <c r="B44" s="2"/>
    </row>
    <row r="45" spans="1:38" x14ac:dyDescent="0.25">
      <c r="A45" t="s">
        <v>56</v>
      </c>
      <c r="B45" s="2"/>
    </row>
    <row r="46" spans="1:38" x14ac:dyDescent="0.25">
      <c r="A46" t="s">
        <v>71</v>
      </c>
      <c r="B46" s="2">
        <v>1308551000</v>
      </c>
      <c r="C46">
        <v>1000484017.2099273</v>
      </c>
      <c r="D46">
        <v>1328789000</v>
      </c>
      <c r="E46">
        <v>1138975079.6426198</v>
      </c>
      <c r="F46">
        <v>1386501347.205395</v>
      </c>
      <c r="G46">
        <v>1780934818.1886175</v>
      </c>
      <c r="H46">
        <v>409681838.95997471</v>
      </c>
      <c r="I46">
        <v>1215279000</v>
      </c>
      <c r="J46">
        <v>2174577000</v>
      </c>
      <c r="K46">
        <v>1198500000</v>
      </c>
      <c r="L46">
        <v>4097725608.1274409</v>
      </c>
      <c r="M46">
        <v>1703542000</v>
      </c>
      <c r="N46">
        <v>1613874000</v>
      </c>
      <c r="O46">
        <v>1444519000</v>
      </c>
      <c r="P46">
        <v>1445908000</v>
      </c>
      <c r="Q46">
        <v>1388406000</v>
      </c>
      <c r="R46">
        <v>1207379000</v>
      </c>
      <c r="S46">
        <v>1031284000</v>
      </c>
      <c r="T46">
        <v>1071862000</v>
      </c>
      <c r="U46">
        <v>940861000</v>
      </c>
      <c r="V46">
        <v>882742000</v>
      </c>
      <c r="W46">
        <v>729491000</v>
      </c>
      <c r="X46">
        <v>739236000</v>
      </c>
      <c r="Y46">
        <v>733380000</v>
      </c>
      <c r="Z46">
        <v>640787000</v>
      </c>
      <c r="AA46">
        <v>508644000</v>
      </c>
      <c r="AB46">
        <v>500142000</v>
      </c>
      <c r="AC46">
        <v>428345000</v>
      </c>
      <c r="AD46">
        <v>348849000</v>
      </c>
      <c r="AE46">
        <v>303670000</v>
      </c>
      <c r="AF46">
        <v>276789000</v>
      </c>
      <c r="AG46">
        <v>212681000</v>
      </c>
      <c r="AH46">
        <v>174484000</v>
      </c>
      <c r="AI46">
        <v>137136000</v>
      </c>
      <c r="AJ46">
        <v>133045000</v>
      </c>
      <c r="AK46">
        <v>124625000</v>
      </c>
      <c r="AL46">
        <v>107836000</v>
      </c>
    </row>
    <row r="47" spans="1:38" x14ac:dyDescent="0.25">
      <c r="A47" t="s">
        <v>72</v>
      </c>
      <c r="B47" s="2">
        <v>168789404000</v>
      </c>
      <c r="C47">
        <v>167898328208.71902</v>
      </c>
      <c r="D47">
        <v>159468382000</v>
      </c>
      <c r="E47">
        <v>148290707483.19983</v>
      </c>
      <c r="F47">
        <v>137387238007.26085</v>
      </c>
      <c r="G47">
        <v>129490105176.94106</v>
      </c>
      <c r="H47">
        <v>130877336384.23572</v>
      </c>
      <c r="I47">
        <v>49112709000</v>
      </c>
      <c r="J47">
        <v>45168091000</v>
      </c>
      <c r="K47">
        <v>38729321000</v>
      </c>
      <c r="L47">
        <v>121091065423.86172</v>
      </c>
      <c r="M47">
        <v>28411504000</v>
      </c>
      <c r="N47">
        <v>25968422000</v>
      </c>
      <c r="O47">
        <v>24882227000</v>
      </c>
      <c r="P47">
        <v>23238156000</v>
      </c>
      <c r="Q47">
        <v>17850105000</v>
      </c>
      <c r="R47">
        <v>16426105000</v>
      </c>
      <c r="S47">
        <v>15060000000</v>
      </c>
      <c r="T47">
        <v>14499968000</v>
      </c>
      <c r="U47">
        <v>13196968000</v>
      </c>
      <c r="V47">
        <v>12056326000</v>
      </c>
      <c r="W47">
        <v>12169622000</v>
      </c>
      <c r="X47">
        <v>11656545000</v>
      </c>
      <c r="Y47">
        <v>10300941000</v>
      </c>
      <c r="Z47">
        <v>9581028000</v>
      </c>
      <c r="AA47">
        <v>8543371000</v>
      </c>
      <c r="AB47">
        <v>7856951000</v>
      </c>
      <c r="AC47">
        <v>6807062000</v>
      </c>
      <c r="AD47">
        <v>6204589000</v>
      </c>
      <c r="AE47">
        <v>5723103000</v>
      </c>
      <c r="AF47">
        <v>5580209000</v>
      </c>
      <c r="AG47">
        <v>4775289000</v>
      </c>
      <c r="AH47">
        <v>4371864000</v>
      </c>
      <c r="AI47">
        <v>3587084000</v>
      </c>
      <c r="AJ47">
        <v>3535423000</v>
      </c>
      <c r="AK47">
        <v>3383249000</v>
      </c>
      <c r="AL47">
        <v>3110021000</v>
      </c>
    </row>
    <row r="48" spans="1:38" x14ac:dyDescent="0.25">
      <c r="A48" t="s">
        <v>73</v>
      </c>
      <c r="B48" s="2">
        <v>290272305000</v>
      </c>
      <c r="C48">
        <v>286266679033.9325</v>
      </c>
      <c r="D48">
        <v>283281569000</v>
      </c>
      <c r="E48">
        <v>263240389285.22345</v>
      </c>
      <c r="F48">
        <v>250527398503.90857</v>
      </c>
      <c r="G48">
        <v>238877534049.16174</v>
      </c>
      <c r="H48">
        <v>253652042821.76532</v>
      </c>
      <c r="I48">
        <v>99351769000</v>
      </c>
      <c r="J48">
        <v>88458389000</v>
      </c>
      <c r="K48">
        <v>77300847000</v>
      </c>
      <c r="L48">
        <v>243923482134.14688</v>
      </c>
      <c r="M48">
        <v>58462747000</v>
      </c>
      <c r="N48">
        <v>53629118000</v>
      </c>
      <c r="O48">
        <v>49301630000</v>
      </c>
      <c r="P48">
        <v>46413298000</v>
      </c>
      <c r="Q48">
        <v>35389774000</v>
      </c>
      <c r="R48">
        <v>35704364000</v>
      </c>
      <c r="S48">
        <v>34350779000</v>
      </c>
      <c r="T48">
        <v>34094229000</v>
      </c>
      <c r="U48">
        <v>28898609000</v>
      </c>
      <c r="V48">
        <v>27010181000</v>
      </c>
      <c r="W48">
        <v>26243556000</v>
      </c>
      <c r="X48">
        <v>25633043000</v>
      </c>
      <c r="Y48">
        <v>22390128000</v>
      </c>
      <c r="Z48">
        <v>21127496000</v>
      </c>
      <c r="AA48">
        <v>20215124000</v>
      </c>
      <c r="AB48">
        <v>19473631000</v>
      </c>
      <c r="AC48">
        <v>17811022000</v>
      </c>
      <c r="AD48">
        <v>16109507000</v>
      </c>
      <c r="AE48">
        <v>12197052000</v>
      </c>
      <c r="AF48">
        <v>11638596000</v>
      </c>
      <c r="AG48">
        <v>9472812000</v>
      </c>
      <c r="AH48">
        <v>8956560000</v>
      </c>
      <c r="AI48">
        <v>8559927000</v>
      </c>
      <c r="AJ48">
        <v>8597861000</v>
      </c>
      <c r="AK48">
        <v>7275451000</v>
      </c>
      <c r="AL48">
        <v>6586131000</v>
      </c>
    </row>
    <row r="49" spans="1:38" x14ac:dyDescent="0.25">
      <c r="A49" t="s">
        <v>74</v>
      </c>
      <c r="B49" s="2"/>
    </row>
    <row r="50" spans="1:38" x14ac:dyDescent="0.25">
      <c r="A50" t="s">
        <v>75</v>
      </c>
      <c r="B50" s="2">
        <v>36678595000</v>
      </c>
      <c r="C50">
        <v>34742301568.442039</v>
      </c>
      <c r="D50">
        <v>26643180000</v>
      </c>
      <c r="E50">
        <v>37436536091.197708</v>
      </c>
      <c r="F50">
        <v>35461901537.052292</v>
      </c>
      <c r="G50">
        <v>32097483288.63224</v>
      </c>
      <c r="H50">
        <v>31683050830.008759</v>
      </c>
      <c r="I50">
        <v>14603972000</v>
      </c>
      <c r="J50">
        <v>12870256000</v>
      </c>
      <c r="K50">
        <v>8254498000</v>
      </c>
      <c r="L50">
        <v>27101169232.443069</v>
      </c>
      <c r="M50">
        <v>8034539000</v>
      </c>
      <c r="N50">
        <v>7104280000</v>
      </c>
      <c r="O50">
        <v>7061939000</v>
      </c>
      <c r="P50">
        <v>5070188000</v>
      </c>
      <c r="Q50">
        <v>3963702000</v>
      </c>
      <c r="R50">
        <v>4328711000</v>
      </c>
      <c r="S50">
        <v>3393770000</v>
      </c>
      <c r="T50">
        <v>3007025000</v>
      </c>
      <c r="U50">
        <v>2024296000</v>
      </c>
      <c r="V50">
        <v>2058655000</v>
      </c>
      <c r="W50">
        <v>1766772000</v>
      </c>
      <c r="X50">
        <v>2223519000</v>
      </c>
      <c r="Y50">
        <v>1947492000</v>
      </c>
      <c r="Z50">
        <v>1456286000</v>
      </c>
      <c r="AA50">
        <v>1057195000</v>
      </c>
      <c r="AB50">
        <v>765803000</v>
      </c>
      <c r="AC50">
        <v>850921000</v>
      </c>
      <c r="AD50">
        <v>499108000</v>
      </c>
      <c r="AE50">
        <v>457849000</v>
      </c>
      <c r="AF50">
        <v>471936000</v>
      </c>
      <c r="AG50">
        <v>376762000</v>
      </c>
      <c r="AH50">
        <v>333399000</v>
      </c>
      <c r="AI50">
        <v>320475000</v>
      </c>
      <c r="AJ50">
        <v>371908000</v>
      </c>
      <c r="AK50">
        <v>338526000</v>
      </c>
      <c r="AL50">
        <v>340461000</v>
      </c>
    </row>
    <row r="51" spans="1:38" x14ac:dyDescent="0.25">
      <c r="A51" t="s">
        <v>76</v>
      </c>
      <c r="B51" s="2"/>
    </row>
    <row r="52" spans="1:38" x14ac:dyDescent="0.25">
      <c r="A52" t="s">
        <v>77</v>
      </c>
      <c r="B52" s="2">
        <v>18106878000</v>
      </c>
      <c r="C52">
        <v>14560146168.200386</v>
      </c>
      <c r="D52">
        <v>23055405000</v>
      </c>
      <c r="E52">
        <v>16324741190.241318</v>
      </c>
      <c r="F52">
        <v>16840232623.708118</v>
      </c>
      <c r="G52">
        <v>17174673362.931009</v>
      </c>
      <c r="H52">
        <v>25038898683.98428</v>
      </c>
      <c r="I52">
        <v>11823883000</v>
      </c>
      <c r="J52">
        <v>10119080000</v>
      </c>
      <c r="K52">
        <v>7994551000</v>
      </c>
      <c r="L52">
        <v>27132624346.733856</v>
      </c>
      <c r="M52">
        <v>5555102000</v>
      </c>
      <c r="N52">
        <v>5166293000</v>
      </c>
      <c r="O52">
        <v>5009240000</v>
      </c>
      <c r="P52">
        <v>6039472000</v>
      </c>
      <c r="Q52">
        <v>3180142000</v>
      </c>
      <c r="R52">
        <v>3103250000</v>
      </c>
      <c r="S52">
        <v>3231629000</v>
      </c>
      <c r="T52">
        <v>4251469000</v>
      </c>
      <c r="U52">
        <v>2802880000</v>
      </c>
      <c r="V52">
        <v>2298944000</v>
      </c>
      <c r="W52">
        <v>4004554000</v>
      </c>
      <c r="X52">
        <v>3120513000</v>
      </c>
      <c r="Y52">
        <v>3076334000</v>
      </c>
      <c r="Z52">
        <v>2463652000</v>
      </c>
      <c r="AA52">
        <v>2118431000</v>
      </c>
      <c r="AB52">
        <v>2548583000</v>
      </c>
      <c r="AC52">
        <v>1754276000</v>
      </c>
      <c r="AD52">
        <v>1607155000</v>
      </c>
      <c r="AE52">
        <v>1691467000</v>
      </c>
      <c r="AF52">
        <v>1790231000</v>
      </c>
      <c r="AG52">
        <v>1583928000</v>
      </c>
      <c r="AH52">
        <v>993564000</v>
      </c>
      <c r="AI52">
        <v>798390000</v>
      </c>
      <c r="AJ52">
        <v>1052907000</v>
      </c>
      <c r="AK52">
        <v>568836000</v>
      </c>
      <c r="AL52">
        <v>518942000</v>
      </c>
    </row>
    <row r="53" spans="1:38" x14ac:dyDescent="0.25">
      <c r="A53" t="s">
        <v>78</v>
      </c>
      <c r="B53" s="2"/>
    </row>
    <row r="54" spans="1:38" x14ac:dyDescent="0.25">
      <c r="A54" t="s">
        <v>79</v>
      </c>
      <c r="B54" s="2">
        <v>4392427000</v>
      </c>
      <c r="C54">
        <v>3643555965.2044716</v>
      </c>
      <c r="D54">
        <v>4130923000</v>
      </c>
      <c r="E54">
        <v>2804628507.4856701</v>
      </c>
      <c r="F54">
        <v>2450786051.8995042</v>
      </c>
      <c r="G54">
        <v>3066628478.6278858</v>
      </c>
      <c r="H54">
        <v>2029281670.6412621</v>
      </c>
      <c r="I54">
        <v>1100123000</v>
      </c>
      <c r="J54">
        <v>798889000</v>
      </c>
      <c r="K54">
        <v>709307000</v>
      </c>
      <c r="L54">
        <v>1768746698.1789629</v>
      </c>
      <c r="M54">
        <v>563247000</v>
      </c>
      <c r="N54">
        <v>382260000</v>
      </c>
      <c r="O54">
        <v>318281000</v>
      </c>
      <c r="P54">
        <v>306525000</v>
      </c>
      <c r="Q54">
        <v>264460000</v>
      </c>
      <c r="R54">
        <v>231925000</v>
      </c>
      <c r="S54">
        <v>197007000</v>
      </c>
      <c r="T54">
        <v>205506000</v>
      </c>
      <c r="U54">
        <v>182264000</v>
      </c>
      <c r="V54">
        <v>166500000</v>
      </c>
      <c r="W54">
        <v>130753000</v>
      </c>
      <c r="X54">
        <v>145939000</v>
      </c>
      <c r="Y54">
        <v>138313000</v>
      </c>
      <c r="Z54">
        <v>56081000</v>
      </c>
      <c r="AA54">
        <v>47961000</v>
      </c>
      <c r="AB54">
        <v>34873000</v>
      </c>
      <c r="AC54">
        <v>46036000</v>
      </c>
      <c r="AD54">
        <v>51996000</v>
      </c>
      <c r="AE54">
        <v>44026000</v>
      </c>
      <c r="AF54">
        <v>46133000</v>
      </c>
      <c r="AG54">
        <v>45205000</v>
      </c>
      <c r="AH54">
        <v>24075000</v>
      </c>
      <c r="AI54">
        <v>20363000</v>
      </c>
      <c r="AJ54">
        <v>36836000</v>
      </c>
      <c r="AK54">
        <v>23195000</v>
      </c>
      <c r="AL54">
        <v>19811000</v>
      </c>
    </row>
    <row r="55" spans="1:38" x14ac:dyDescent="0.25">
      <c r="A55" t="s">
        <v>80</v>
      </c>
      <c r="B55" s="2">
        <v>1300994000</v>
      </c>
      <c r="C55">
        <v>353029944.4002586</v>
      </c>
      <c r="D55">
        <v>640031000</v>
      </c>
      <c r="E55">
        <v>779331498.00091839</v>
      </c>
      <c r="F55">
        <v>806568651.31570435</v>
      </c>
      <c r="G55">
        <v>147957030.89082816</v>
      </c>
      <c r="H55">
        <v>576176704.45698535</v>
      </c>
      <c r="I55">
        <v>465985000</v>
      </c>
      <c r="J55">
        <v>521432000</v>
      </c>
      <c r="K55">
        <v>55370000</v>
      </c>
      <c r="L55">
        <v>1026830164.0277941</v>
      </c>
      <c r="M55">
        <v>520364000</v>
      </c>
      <c r="N55">
        <v>553712000</v>
      </c>
      <c r="O55">
        <v>92441000</v>
      </c>
      <c r="P55">
        <v>342336000</v>
      </c>
      <c r="Q55">
        <v>438776000</v>
      </c>
      <c r="R55">
        <v>451255000</v>
      </c>
      <c r="S55">
        <v>25777000</v>
      </c>
      <c r="T55">
        <v>101022000</v>
      </c>
      <c r="U55">
        <v>254095000</v>
      </c>
      <c r="V55">
        <v>339268000</v>
      </c>
      <c r="W55">
        <v>25315000</v>
      </c>
      <c r="X55">
        <v>58500000</v>
      </c>
      <c r="Y55">
        <v>71006000</v>
      </c>
      <c r="Z55">
        <v>120566000</v>
      </c>
      <c r="AA55">
        <v>5631000</v>
      </c>
      <c r="AB55">
        <v>2732000</v>
      </c>
      <c r="AC55">
        <v>30818000</v>
      </c>
      <c r="AD55">
        <v>58543000</v>
      </c>
      <c r="AE55">
        <v>86670000</v>
      </c>
      <c r="AF55">
        <v>1494000</v>
      </c>
      <c r="AG55">
        <v>26416000</v>
      </c>
      <c r="AH55">
        <v>58620000</v>
      </c>
      <c r="AI55">
        <v>82088000</v>
      </c>
      <c r="AJ55">
        <v>6248000</v>
      </c>
      <c r="AK55">
        <v>20786000</v>
      </c>
      <c r="AL55">
        <v>36131000</v>
      </c>
    </row>
    <row r="56" spans="1:38" x14ac:dyDescent="0.25">
      <c r="A56" t="s">
        <v>81</v>
      </c>
      <c r="B56" s="2"/>
    </row>
    <row r="57" spans="1:38" x14ac:dyDescent="0.25">
      <c r="A57" t="s">
        <v>82</v>
      </c>
      <c r="B57" s="2"/>
    </row>
    <row r="58" spans="1:38" x14ac:dyDescent="0.25">
      <c r="A58" t="s">
        <v>49</v>
      </c>
      <c r="B58" s="2"/>
    </row>
    <row r="59" spans="1:38" x14ac:dyDescent="0.25">
      <c r="A59" t="s">
        <v>83</v>
      </c>
      <c r="B59" s="2">
        <v>66034000</v>
      </c>
      <c r="C59">
        <v>70000478.486744806</v>
      </c>
      <c r="D59">
        <v>77045000</v>
      </c>
      <c r="E59">
        <v>73287639.880292624</v>
      </c>
      <c r="F59">
        <v>77910920.786102638</v>
      </c>
      <c r="G59">
        <v>84459244.331540078</v>
      </c>
      <c r="H59">
        <v>96814860.751336351</v>
      </c>
      <c r="I59">
        <v>67213000</v>
      </c>
      <c r="J59">
        <v>61902000</v>
      </c>
      <c r="K59">
        <v>66019000</v>
      </c>
      <c r="L59">
        <v>193895435.94101256</v>
      </c>
      <c r="M59">
        <v>24535000</v>
      </c>
      <c r="N59">
        <v>29934000</v>
      </c>
      <c r="O59">
        <v>29522000</v>
      </c>
      <c r="P59">
        <v>27291000</v>
      </c>
      <c r="Q59">
        <v>21030000</v>
      </c>
      <c r="R59">
        <v>27503000</v>
      </c>
      <c r="S59">
        <v>27606000</v>
      </c>
      <c r="T59">
        <v>29513000</v>
      </c>
      <c r="U59">
        <v>37111000</v>
      </c>
      <c r="V59">
        <v>38405000</v>
      </c>
      <c r="W59">
        <v>40743000</v>
      </c>
      <c r="X59">
        <v>43194000</v>
      </c>
      <c r="Y59">
        <v>45971000</v>
      </c>
      <c r="Z59">
        <v>47606000</v>
      </c>
      <c r="AA59">
        <v>51524000</v>
      </c>
      <c r="AB59">
        <v>53818000</v>
      </c>
      <c r="AC59">
        <v>47178000</v>
      </c>
      <c r="AD59">
        <v>42543000</v>
      </c>
      <c r="AE59">
        <v>40326000</v>
      </c>
      <c r="AF59">
        <v>41643000</v>
      </c>
      <c r="AG59">
        <v>36303000</v>
      </c>
      <c r="AH59">
        <v>33116000</v>
      </c>
      <c r="AI59">
        <v>28150000</v>
      </c>
      <c r="AJ59">
        <v>28268000</v>
      </c>
      <c r="AK59">
        <v>26865000</v>
      </c>
      <c r="AL59">
        <v>22893000</v>
      </c>
    </row>
    <row r="60" spans="1:38" x14ac:dyDescent="0.25">
      <c r="A60" t="s">
        <v>84</v>
      </c>
      <c r="B60" s="2">
        <v>20625723000</v>
      </c>
      <c r="C60">
        <v>16234411027.508808</v>
      </c>
      <c r="D60">
        <v>15172917000</v>
      </c>
      <c r="E60">
        <v>11111135511.357161</v>
      </c>
      <c r="F60">
        <v>15666701658.313538</v>
      </c>
      <c r="G60">
        <v>6975760281.9623566</v>
      </c>
      <c r="H60">
        <v>14974320758.641113</v>
      </c>
      <c r="I60">
        <v>6383452000</v>
      </c>
      <c r="J60">
        <v>5943150000</v>
      </c>
      <c r="K60">
        <v>5229206000</v>
      </c>
      <c r="L60">
        <v>16111076064.731255</v>
      </c>
      <c r="M60">
        <v>4004562000</v>
      </c>
      <c r="N60">
        <v>3116766000</v>
      </c>
      <c r="O60">
        <v>2510076000</v>
      </c>
      <c r="P60">
        <v>1850165000</v>
      </c>
      <c r="Q60">
        <v>1706528000</v>
      </c>
      <c r="R60">
        <v>1842206000</v>
      </c>
      <c r="S60">
        <v>2341403000</v>
      </c>
      <c r="T60">
        <v>2656573000</v>
      </c>
      <c r="U60">
        <v>1319563000</v>
      </c>
      <c r="V60">
        <v>2247653000</v>
      </c>
      <c r="W60">
        <v>1020186000</v>
      </c>
      <c r="X60">
        <v>1067732000</v>
      </c>
      <c r="Y60">
        <v>485137000</v>
      </c>
      <c r="Z60">
        <v>570533000</v>
      </c>
      <c r="AA60">
        <v>350744000</v>
      </c>
      <c r="AB60">
        <v>632645000</v>
      </c>
      <c r="AC60">
        <v>783077000</v>
      </c>
      <c r="AD60">
        <v>651771000</v>
      </c>
      <c r="AE60">
        <v>1120568000</v>
      </c>
      <c r="AF60">
        <v>900106000</v>
      </c>
      <c r="AG60">
        <v>387071000</v>
      </c>
      <c r="AH60">
        <v>635799000</v>
      </c>
      <c r="AI60">
        <v>254421000</v>
      </c>
      <c r="AJ60">
        <v>370581000</v>
      </c>
      <c r="AK60">
        <v>342287000</v>
      </c>
      <c r="AL60">
        <v>388780000</v>
      </c>
    </row>
    <row r="61" spans="1:38" x14ac:dyDescent="0.25">
      <c r="A61" t="s">
        <v>85</v>
      </c>
      <c r="B61" s="2">
        <v>0</v>
      </c>
      <c r="C61">
        <v>0</v>
      </c>
      <c r="D61">
        <v>0</v>
      </c>
      <c r="E61">
        <v>0</v>
      </c>
      <c r="F61">
        <v>6913140.7585942252</v>
      </c>
      <c r="G61">
        <v>10057634.788054988</v>
      </c>
      <c r="H61">
        <v>0</v>
      </c>
      <c r="I61">
        <v>462110000</v>
      </c>
      <c r="J61">
        <v>564218000</v>
      </c>
      <c r="K61">
        <v>182000</v>
      </c>
      <c r="L61">
        <v>505357.16206477425</v>
      </c>
      <c r="M61">
        <v>1730000</v>
      </c>
      <c r="N61">
        <v>1131000</v>
      </c>
      <c r="O61">
        <v>1250000</v>
      </c>
      <c r="P61">
        <v>2401000</v>
      </c>
      <c r="Q61">
        <v>769000</v>
      </c>
      <c r="R61">
        <v>894000</v>
      </c>
      <c r="S61">
        <v>579000</v>
      </c>
      <c r="T61">
        <v>4635000</v>
      </c>
      <c r="U61">
        <v>5084000</v>
      </c>
      <c r="V61">
        <v>3230000</v>
      </c>
      <c r="W61">
        <v>1634000</v>
      </c>
      <c r="X61">
        <v>12847000</v>
      </c>
      <c r="Y61">
        <v>2894000</v>
      </c>
      <c r="Z61">
        <v>2428000</v>
      </c>
      <c r="AA61">
        <v>617000</v>
      </c>
      <c r="AB61">
        <v>2836000</v>
      </c>
      <c r="AC61">
        <v>8155000</v>
      </c>
      <c r="AD61">
        <v>3058000</v>
      </c>
      <c r="AE61">
        <v>2117000</v>
      </c>
      <c r="AF61">
        <v>717000</v>
      </c>
      <c r="AG61">
        <v>1282000</v>
      </c>
      <c r="AH61">
        <v>1096000</v>
      </c>
      <c r="AI61">
        <v>1221000</v>
      </c>
      <c r="AJ61">
        <v>427000</v>
      </c>
      <c r="AK61">
        <v>1110000</v>
      </c>
      <c r="AL61">
        <v>537000</v>
      </c>
    </row>
    <row r="62" spans="1:38" x14ac:dyDescent="0.25">
      <c r="A62" t="s">
        <v>86</v>
      </c>
      <c r="B62" s="2">
        <v>9438279000</v>
      </c>
      <c r="C62">
        <v>9250180441.7519264</v>
      </c>
      <c r="D62">
        <v>11633121000</v>
      </c>
      <c r="E62">
        <v>7123178444.9401464</v>
      </c>
      <c r="F62">
        <v>7437013406.4217949</v>
      </c>
      <c r="G62">
        <v>7059480209.6173363</v>
      </c>
      <c r="H62">
        <v>10111190327.298801</v>
      </c>
      <c r="I62">
        <v>5068025000</v>
      </c>
      <c r="J62">
        <v>4780935000</v>
      </c>
      <c r="K62">
        <v>4767598000</v>
      </c>
      <c r="L62">
        <v>13548903461.395735</v>
      </c>
      <c r="M62">
        <v>3678012000</v>
      </c>
      <c r="N62">
        <v>3398699000</v>
      </c>
      <c r="O62">
        <v>2996796000</v>
      </c>
      <c r="P62">
        <v>3080222000</v>
      </c>
      <c r="Q62">
        <v>2698435000</v>
      </c>
      <c r="R62">
        <v>2361042000</v>
      </c>
      <c r="S62">
        <v>2123305000</v>
      </c>
      <c r="T62">
        <v>2046616000</v>
      </c>
      <c r="U62">
        <v>1550396000</v>
      </c>
      <c r="V62">
        <v>1253225000</v>
      </c>
      <c r="W62">
        <v>1208365000</v>
      </c>
      <c r="X62">
        <v>1067379000</v>
      </c>
      <c r="Y62">
        <v>789139000</v>
      </c>
      <c r="Z62">
        <v>715409000</v>
      </c>
      <c r="AA62">
        <v>661842000</v>
      </c>
      <c r="AB62">
        <v>634951000</v>
      </c>
      <c r="AC62">
        <v>521462000</v>
      </c>
      <c r="AD62">
        <v>475559000</v>
      </c>
      <c r="AE62">
        <v>464033000</v>
      </c>
      <c r="AF62">
        <v>425907000</v>
      </c>
      <c r="AG62">
        <v>422200000</v>
      </c>
      <c r="AH62">
        <v>357087000</v>
      </c>
      <c r="AI62">
        <v>329736000</v>
      </c>
      <c r="AJ62">
        <v>346729000</v>
      </c>
      <c r="AK62">
        <v>194855000</v>
      </c>
      <c r="AL62">
        <v>242185000</v>
      </c>
    </row>
    <row r="63" spans="1:38" x14ac:dyDescent="0.25">
      <c r="A63" t="s">
        <v>87</v>
      </c>
      <c r="B63" s="2">
        <v>89067000</v>
      </c>
      <c r="C63">
        <v>19212658.207798447</v>
      </c>
      <c r="D63">
        <v>40786000</v>
      </c>
      <c r="E63">
        <v>25437660.21154638</v>
      </c>
      <c r="F63">
        <v>32788463.465112172</v>
      </c>
      <c r="G63">
        <v>93044101.740150601</v>
      </c>
      <c r="H63">
        <v>17303910.625616957</v>
      </c>
      <c r="I63">
        <v>98004000</v>
      </c>
      <c r="J63">
        <v>22574000</v>
      </c>
      <c r="K63">
        <v>17985000</v>
      </c>
      <c r="L63">
        <v>148541315.16957262</v>
      </c>
      <c r="M63">
        <v>44421000</v>
      </c>
      <c r="N63">
        <v>8716000</v>
      </c>
      <c r="O63">
        <v>8397000</v>
      </c>
      <c r="P63">
        <v>31327000</v>
      </c>
      <c r="Q63">
        <v>7602000</v>
      </c>
      <c r="R63">
        <v>5988000</v>
      </c>
      <c r="S63">
        <v>7577000</v>
      </c>
      <c r="T63">
        <v>17406000</v>
      </c>
      <c r="U63">
        <v>2593000</v>
      </c>
      <c r="V63">
        <v>3492000</v>
      </c>
      <c r="W63">
        <v>1159000</v>
      </c>
      <c r="X63">
        <v>4247000</v>
      </c>
      <c r="Y63">
        <v>7316000</v>
      </c>
      <c r="Z63">
        <v>3089000</v>
      </c>
      <c r="AA63">
        <v>17738000</v>
      </c>
      <c r="AB63">
        <v>8237000</v>
      </c>
      <c r="AC63">
        <v>992000</v>
      </c>
      <c r="AD63">
        <v>5308000</v>
      </c>
      <c r="AE63">
        <v>3815000</v>
      </c>
      <c r="AF63">
        <v>13546000</v>
      </c>
      <c r="AG63">
        <v>7859000</v>
      </c>
      <c r="AH63">
        <v>6692000</v>
      </c>
      <c r="AI63">
        <v>1291000</v>
      </c>
      <c r="AJ63">
        <v>21774000</v>
      </c>
      <c r="AK63">
        <v>8718000</v>
      </c>
      <c r="AL63">
        <v>9192000</v>
      </c>
    </row>
    <row r="64" spans="1:38" x14ac:dyDescent="0.25">
      <c r="A64" t="s">
        <v>88</v>
      </c>
      <c r="B64" s="2"/>
    </row>
    <row r="65" spans="1:38" x14ac:dyDescent="0.25">
      <c r="A65" t="s">
        <v>89</v>
      </c>
      <c r="B65" s="2"/>
    </row>
    <row r="66" spans="1:38" x14ac:dyDescent="0.25">
      <c r="A66" t="s">
        <v>90</v>
      </c>
      <c r="B66" s="2">
        <v>90697997000</v>
      </c>
      <c r="C66">
        <v>78872838252.202438</v>
      </c>
      <c r="D66">
        <v>81393408000</v>
      </c>
      <c r="E66">
        <v>75678276543.314774</v>
      </c>
      <c r="F66">
        <v>78780816453.720749</v>
      </c>
      <c r="G66">
        <v>66709543633.5214</v>
      </c>
      <c r="H66">
        <v>84527037746.408157</v>
      </c>
      <c r="I66">
        <v>40072767000</v>
      </c>
      <c r="J66">
        <v>35682436000</v>
      </c>
      <c r="K66">
        <v>27094716000</v>
      </c>
      <c r="L66">
        <v>87032292075.783325</v>
      </c>
      <c r="M66">
        <v>22426512000</v>
      </c>
      <c r="N66">
        <v>19761791000</v>
      </c>
      <c r="O66">
        <v>18027942000</v>
      </c>
      <c r="P66">
        <v>16749927000</v>
      </c>
      <c r="Q66">
        <v>12281444000</v>
      </c>
      <c r="R66">
        <v>12352774000</v>
      </c>
      <c r="S66">
        <v>11348653000</v>
      </c>
      <c r="T66">
        <v>12319765000</v>
      </c>
      <c r="U66">
        <v>8178282000</v>
      </c>
      <c r="V66">
        <v>8409372000</v>
      </c>
      <c r="W66">
        <v>8199481000</v>
      </c>
      <c r="X66">
        <v>7743870000</v>
      </c>
      <c r="Y66">
        <v>6563602000</v>
      </c>
      <c r="Z66">
        <v>5435650000</v>
      </c>
      <c r="AA66">
        <v>4311683000</v>
      </c>
      <c r="AB66">
        <v>4684478000</v>
      </c>
      <c r="AC66">
        <v>4042915000</v>
      </c>
      <c r="AD66">
        <v>3395041000</v>
      </c>
      <c r="AE66">
        <v>3910871000</v>
      </c>
      <c r="AF66">
        <v>3691713000</v>
      </c>
      <c r="AG66">
        <v>2887026000</v>
      </c>
      <c r="AH66">
        <v>2443448000</v>
      </c>
      <c r="AI66">
        <v>1836135000</v>
      </c>
      <c r="AJ66">
        <v>2235678000</v>
      </c>
      <c r="AK66">
        <v>1525178000</v>
      </c>
      <c r="AL66">
        <v>1578932000</v>
      </c>
    </row>
    <row r="67" spans="1:38" x14ac:dyDescent="0.25">
      <c r="A67" t="s">
        <v>91</v>
      </c>
      <c r="B67" s="2"/>
    </row>
    <row r="68" spans="1:38" x14ac:dyDescent="0.25">
      <c r="A68" t="s">
        <v>75</v>
      </c>
      <c r="B68" s="2">
        <v>154463000</v>
      </c>
      <c r="C68">
        <v>182045342.86168769</v>
      </c>
      <c r="D68">
        <v>11348585000</v>
      </c>
      <c r="E68">
        <v>3957300693.4042182</v>
      </c>
      <c r="F68">
        <v>849630266.12885845</v>
      </c>
      <c r="G68">
        <v>1297068889.3043606</v>
      </c>
      <c r="H68">
        <v>1902840965.4690731</v>
      </c>
      <c r="I68">
        <v>1861295000</v>
      </c>
      <c r="J68">
        <v>2265445000</v>
      </c>
      <c r="K68">
        <v>1788687000</v>
      </c>
      <c r="L68">
        <v>2969054184.2764797</v>
      </c>
      <c r="M68">
        <v>960488000</v>
      </c>
      <c r="N68">
        <v>1340497000</v>
      </c>
      <c r="O68">
        <v>738252000</v>
      </c>
      <c r="P68">
        <v>332762000</v>
      </c>
      <c r="Q68">
        <v>27307000</v>
      </c>
      <c r="R68">
        <v>162423000</v>
      </c>
      <c r="S68">
        <v>834737000</v>
      </c>
      <c r="T68">
        <v>883448000</v>
      </c>
      <c r="U68">
        <v>1227295000</v>
      </c>
      <c r="V68">
        <v>545478000</v>
      </c>
      <c r="W68">
        <v>9098000</v>
      </c>
      <c r="X68">
        <v>9098000</v>
      </c>
      <c r="Y68">
        <v>228704000</v>
      </c>
      <c r="Z68">
        <v>899000</v>
      </c>
      <c r="AA68">
        <v>0</v>
      </c>
      <c r="AB68">
        <v>20234000</v>
      </c>
      <c r="AC68">
        <v>34559000</v>
      </c>
      <c r="AD68">
        <v>46379000</v>
      </c>
      <c r="AE68">
        <v>47751000</v>
      </c>
      <c r="AF68">
        <v>62207000</v>
      </c>
      <c r="AG68">
        <v>66120000</v>
      </c>
      <c r="AH68">
        <v>81153000</v>
      </c>
      <c r="AI68">
        <v>91188000</v>
      </c>
      <c r="AJ68">
        <v>122415000</v>
      </c>
      <c r="AK68">
        <v>109968000</v>
      </c>
      <c r="AL68">
        <v>134360000</v>
      </c>
    </row>
    <row r="69" spans="1:38" x14ac:dyDescent="0.25">
      <c r="A69" t="s">
        <v>76</v>
      </c>
      <c r="B69" s="2"/>
    </row>
    <row r="70" spans="1:38" x14ac:dyDescent="0.25">
      <c r="A70" t="s">
        <v>77</v>
      </c>
      <c r="B70" s="2">
        <v>1526000</v>
      </c>
      <c r="C70">
        <v>0</v>
      </c>
      <c r="D70">
        <v>0</v>
      </c>
      <c r="E70">
        <v>0</v>
      </c>
      <c r="F70">
        <v>0</v>
      </c>
      <c r="G70">
        <v>178607.19710956456</v>
      </c>
      <c r="H70">
        <v>127182751.36987577</v>
      </c>
      <c r="I70">
        <v>168319000</v>
      </c>
      <c r="J70">
        <v>273793000</v>
      </c>
      <c r="K70">
        <v>41566000</v>
      </c>
      <c r="L70">
        <v>201844704.10029143</v>
      </c>
      <c r="M70">
        <v>17773000</v>
      </c>
      <c r="N70">
        <v>7195000</v>
      </c>
      <c r="O70">
        <v>7444000</v>
      </c>
      <c r="P70">
        <v>25467000</v>
      </c>
      <c r="Q70">
        <v>666000</v>
      </c>
      <c r="R70">
        <v>357000</v>
      </c>
      <c r="S70">
        <v>311000</v>
      </c>
      <c r="T70">
        <v>311000</v>
      </c>
      <c r="U70">
        <v>7194000</v>
      </c>
      <c r="V70">
        <v>9647000</v>
      </c>
      <c r="W70">
        <v>952413000</v>
      </c>
      <c r="X70">
        <v>20896000</v>
      </c>
      <c r="Y70">
        <v>1347206000</v>
      </c>
      <c r="Z70">
        <v>2016319000</v>
      </c>
      <c r="AA70">
        <v>2220786000</v>
      </c>
      <c r="AB70">
        <v>1768283000</v>
      </c>
      <c r="AC70">
        <v>1545032000</v>
      </c>
      <c r="AD70">
        <v>1463641000</v>
      </c>
      <c r="AE70">
        <v>1237203000</v>
      </c>
      <c r="AF70">
        <v>1262015000</v>
      </c>
      <c r="AG70">
        <v>386370000</v>
      </c>
      <c r="AH70">
        <v>642630000</v>
      </c>
      <c r="AI70">
        <v>260245000</v>
      </c>
      <c r="AJ70">
        <v>253144000</v>
      </c>
      <c r="AK70">
        <v>247089000</v>
      </c>
      <c r="AL70">
        <v>184786000</v>
      </c>
    </row>
    <row r="71" spans="1:38" x14ac:dyDescent="0.25">
      <c r="A71" t="s">
        <v>78</v>
      </c>
      <c r="B71" s="2"/>
    </row>
    <row r="72" spans="1:38" x14ac:dyDescent="0.25">
      <c r="A72" t="s">
        <v>79</v>
      </c>
      <c r="B72" s="2"/>
    </row>
    <row r="73" spans="1:38" x14ac:dyDescent="0.25">
      <c r="A73" t="s">
        <v>80</v>
      </c>
      <c r="B73" s="2">
        <v>16532000</v>
      </c>
      <c r="C73">
        <v>17975559.767691366</v>
      </c>
      <c r="D73">
        <v>22519000</v>
      </c>
      <c r="E73">
        <v>35437403.319663048</v>
      </c>
      <c r="F73">
        <v>42000132.368095413</v>
      </c>
      <c r="G73">
        <v>49285338.448307298</v>
      </c>
      <c r="H73">
        <v>61731009.863850556</v>
      </c>
      <c r="I73">
        <v>21192000</v>
      </c>
      <c r="J73">
        <v>20781000</v>
      </c>
      <c r="K73">
        <v>22763000</v>
      </c>
      <c r="L73">
        <v>45210936.24218826</v>
      </c>
      <c r="M73">
        <v>16502000</v>
      </c>
      <c r="N73">
        <v>12102000</v>
      </c>
      <c r="O73">
        <v>11921000</v>
      </c>
      <c r="P73">
        <v>13255000</v>
      </c>
      <c r="Q73">
        <v>16212000</v>
      </c>
      <c r="R73">
        <v>16203000</v>
      </c>
      <c r="S73">
        <v>17945000</v>
      </c>
      <c r="T73">
        <v>36394000</v>
      </c>
      <c r="U73">
        <v>14071000</v>
      </c>
      <c r="V73">
        <v>7884000</v>
      </c>
      <c r="W73">
        <v>14846000</v>
      </c>
      <c r="X73">
        <v>4929000</v>
      </c>
      <c r="Y73">
        <v>4726000</v>
      </c>
      <c r="Z73">
        <v>4643000</v>
      </c>
      <c r="AA73">
        <v>3342000</v>
      </c>
      <c r="AB73">
        <v>106000</v>
      </c>
      <c r="AC73">
        <v>114000</v>
      </c>
      <c r="AD73">
        <v>100000</v>
      </c>
      <c r="AE73">
        <v>92000</v>
      </c>
      <c r="AF73">
        <v>105000</v>
      </c>
      <c r="AG73">
        <v>96000</v>
      </c>
      <c r="AH73">
        <v>95000</v>
      </c>
      <c r="AI73">
        <v>46000</v>
      </c>
      <c r="AJ73">
        <v>45000</v>
      </c>
      <c r="AK73">
        <v>40000</v>
      </c>
      <c r="AL73">
        <v>38000</v>
      </c>
    </row>
    <row r="74" spans="1:38" x14ac:dyDescent="0.25">
      <c r="A74" t="s">
        <v>81</v>
      </c>
      <c r="B74" s="2"/>
    </row>
    <row r="75" spans="1:38" x14ac:dyDescent="0.25">
      <c r="A75" t="s">
        <v>83</v>
      </c>
      <c r="B75" s="2"/>
    </row>
    <row r="76" spans="1:38" x14ac:dyDescent="0.25">
      <c r="A76" t="s">
        <v>82</v>
      </c>
      <c r="B76" s="2"/>
    </row>
    <row r="77" spans="1:38" x14ac:dyDescent="0.25">
      <c r="A77" t="s">
        <v>49</v>
      </c>
      <c r="B77" s="2"/>
    </row>
    <row r="78" spans="1:38" x14ac:dyDescent="0.25">
      <c r="A78" t="s">
        <v>83</v>
      </c>
      <c r="B78" s="2"/>
    </row>
    <row r="79" spans="1:38" x14ac:dyDescent="0.25">
      <c r="A79" t="s">
        <v>84</v>
      </c>
      <c r="B79" s="2">
        <v>21703400000</v>
      </c>
      <c r="C79">
        <v>29176580845.459251</v>
      </c>
      <c r="D79">
        <v>13800786000</v>
      </c>
      <c r="E79">
        <v>21676170978.785988</v>
      </c>
      <c r="F79">
        <v>11014717029.220152</v>
      </c>
      <c r="G79">
        <v>13246175854.650919</v>
      </c>
      <c r="H79">
        <v>9953385336.1419983</v>
      </c>
      <c r="I79">
        <v>4523122000</v>
      </c>
      <c r="J79">
        <v>2041002000</v>
      </c>
      <c r="K79">
        <v>2879172000</v>
      </c>
      <c r="L79">
        <v>8010640417.5639191</v>
      </c>
      <c r="M79">
        <v>2164729000</v>
      </c>
      <c r="N79">
        <v>1631199000</v>
      </c>
      <c r="O79">
        <v>1355437000</v>
      </c>
      <c r="P79">
        <v>1929027000</v>
      </c>
      <c r="Q79">
        <v>1495947000</v>
      </c>
      <c r="R79">
        <v>1925277000</v>
      </c>
      <c r="S79">
        <v>1782009000</v>
      </c>
      <c r="T79">
        <v>1764157000</v>
      </c>
      <c r="U79">
        <v>2550094000</v>
      </c>
      <c r="V79">
        <v>2297120000</v>
      </c>
      <c r="W79">
        <v>1932716000</v>
      </c>
      <c r="X79">
        <v>3677396000</v>
      </c>
      <c r="Y79">
        <v>1737474000</v>
      </c>
      <c r="Z79">
        <v>1813565000</v>
      </c>
      <c r="AA79">
        <v>2332957000</v>
      </c>
      <c r="AB79">
        <v>2296513000</v>
      </c>
      <c r="AC79">
        <v>2442479000</v>
      </c>
      <c r="AD79">
        <v>2265400000</v>
      </c>
      <c r="AE79">
        <v>1749148000</v>
      </c>
      <c r="AF79">
        <v>1642766000</v>
      </c>
      <c r="AG79">
        <v>1468790000</v>
      </c>
      <c r="AH79">
        <v>1390792000</v>
      </c>
      <c r="AI79">
        <v>2206949000</v>
      </c>
      <c r="AJ79">
        <v>2091979000</v>
      </c>
      <c r="AK79">
        <v>1915680000</v>
      </c>
      <c r="AL79">
        <v>1415631000</v>
      </c>
    </row>
    <row r="80" spans="1:38" x14ac:dyDescent="0.25">
      <c r="A80" t="s">
        <v>92</v>
      </c>
      <c r="B80" s="2">
        <v>7430025000</v>
      </c>
      <c r="C80">
        <v>10798117091.028162</v>
      </c>
      <c r="D80">
        <v>11740018000</v>
      </c>
      <c r="E80">
        <v>6449345786.5970488</v>
      </c>
      <c r="F80">
        <v>6854776780.4414282</v>
      </c>
      <c r="G80">
        <v>6940595160.0396376</v>
      </c>
      <c r="H80">
        <v>8192792059.9430075</v>
      </c>
      <c r="I80">
        <v>3388257000</v>
      </c>
      <c r="J80">
        <v>3323933000</v>
      </c>
      <c r="K80">
        <v>3330220000</v>
      </c>
      <c r="L80">
        <v>8911453035.1353683</v>
      </c>
      <c r="M80">
        <v>1788431000</v>
      </c>
      <c r="N80">
        <v>1767987000</v>
      </c>
      <c r="O80">
        <v>1615099000</v>
      </c>
      <c r="P80">
        <v>1513317000</v>
      </c>
      <c r="Q80">
        <v>674779000</v>
      </c>
      <c r="R80">
        <v>954086000</v>
      </c>
      <c r="S80">
        <v>1022848000</v>
      </c>
      <c r="T80">
        <v>992051000</v>
      </c>
      <c r="U80">
        <v>622779000</v>
      </c>
      <c r="V80">
        <v>652146000</v>
      </c>
      <c r="W80">
        <v>640513000</v>
      </c>
      <c r="X80">
        <v>607561000</v>
      </c>
      <c r="Y80">
        <v>518523000</v>
      </c>
      <c r="Z80">
        <v>503661000</v>
      </c>
      <c r="AA80">
        <v>535013000</v>
      </c>
      <c r="AB80">
        <v>526996000</v>
      </c>
      <c r="AC80">
        <v>363762000</v>
      </c>
      <c r="AD80">
        <v>363430000</v>
      </c>
      <c r="AE80">
        <v>211984000</v>
      </c>
      <c r="AF80">
        <v>211667000</v>
      </c>
      <c r="AG80">
        <v>221200000</v>
      </c>
      <c r="AH80">
        <v>219558000</v>
      </c>
      <c r="AI80">
        <v>225036000</v>
      </c>
      <c r="AJ80">
        <v>203133000</v>
      </c>
      <c r="AK80">
        <v>286584000</v>
      </c>
      <c r="AL80">
        <v>235281000</v>
      </c>
    </row>
    <row r="81" spans="1:38" x14ac:dyDescent="0.25">
      <c r="A81" t="s">
        <v>93</v>
      </c>
      <c r="B81" s="2"/>
    </row>
    <row r="82" spans="1:38" x14ac:dyDescent="0.25">
      <c r="A82" t="s">
        <v>94</v>
      </c>
      <c r="B82" s="2"/>
      <c r="C82">
        <v>0</v>
      </c>
      <c r="E82">
        <v>0</v>
      </c>
      <c r="F82">
        <v>0</v>
      </c>
      <c r="G82">
        <v>0</v>
      </c>
      <c r="H82">
        <v>0</v>
      </c>
      <c r="L82">
        <v>619839089.03505456</v>
      </c>
    </row>
    <row r="83" spans="1:38" x14ac:dyDescent="0.25">
      <c r="A83" t="s">
        <v>95</v>
      </c>
      <c r="B83" s="2">
        <v>22760000</v>
      </c>
      <c r="C83">
        <v>22908052.519892104</v>
      </c>
      <c r="D83">
        <v>46878000</v>
      </c>
      <c r="E83">
        <v>18387624.338917568</v>
      </c>
      <c r="F83">
        <v>27568832.866954975</v>
      </c>
      <c r="G83">
        <v>7123791.9765175506</v>
      </c>
      <c r="H83">
        <v>8216178.1825631857</v>
      </c>
      <c r="I83">
        <v>6345000</v>
      </c>
      <c r="J83">
        <v>6657000</v>
      </c>
      <c r="K83">
        <v>6589000</v>
      </c>
      <c r="L83">
        <v>13506512.418117866</v>
      </c>
      <c r="M83">
        <v>19657000</v>
      </c>
      <c r="N83">
        <v>4538000</v>
      </c>
      <c r="O83">
        <v>4412000</v>
      </c>
      <c r="P83">
        <v>14333000</v>
      </c>
      <c r="Q83">
        <v>4638000</v>
      </c>
      <c r="R83">
        <v>6363000</v>
      </c>
      <c r="S83">
        <v>6432000</v>
      </c>
      <c r="T83">
        <v>0</v>
      </c>
      <c r="U83">
        <v>7302000</v>
      </c>
      <c r="V83">
        <v>7300000</v>
      </c>
      <c r="W83">
        <v>0</v>
      </c>
      <c r="X83">
        <v>394000</v>
      </c>
      <c r="Y83">
        <v>73000</v>
      </c>
      <c r="Z83">
        <v>85000</v>
      </c>
      <c r="AA83">
        <v>925000</v>
      </c>
      <c r="AB83">
        <v>0</v>
      </c>
    </row>
    <row r="84" spans="1:38" x14ac:dyDescent="0.25">
      <c r="A84" t="s">
        <v>96</v>
      </c>
      <c r="B84" s="2">
        <v>29328706000</v>
      </c>
      <c r="C84">
        <v>40197626891.636688</v>
      </c>
      <c r="D84">
        <v>36958786000</v>
      </c>
      <c r="E84">
        <v>32136642486.445835</v>
      </c>
      <c r="F84">
        <v>18788693041.025486</v>
      </c>
      <c r="G84">
        <v>21540427641.616856</v>
      </c>
      <c r="H84">
        <v>20246148300.970367</v>
      </c>
      <c r="I84">
        <v>9968530000</v>
      </c>
      <c r="J84">
        <v>7931611000</v>
      </c>
      <c r="K84">
        <v>8068997000</v>
      </c>
      <c r="L84">
        <v>20771548878.77142</v>
      </c>
      <c r="M84">
        <v>4967580000</v>
      </c>
      <c r="N84">
        <v>4763518000</v>
      </c>
      <c r="O84">
        <v>3732565000</v>
      </c>
      <c r="P84">
        <v>3828161000</v>
      </c>
      <c r="Q84">
        <v>2219549000</v>
      </c>
      <c r="R84">
        <v>3064709000</v>
      </c>
      <c r="S84">
        <v>3664282000</v>
      </c>
      <c r="T84">
        <v>3676361000</v>
      </c>
      <c r="U84">
        <v>4428735000</v>
      </c>
      <c r="V84">
        <v>3519575000</v>
      </c>
      <c r="W84">
        <v>3549586000</v>
      </c>
      <c r="X84">
        <v>4320274000</v>
      </c>
      <c r="Y84">
        <v>3836706000</v>
      </c>
      <c r="Z84">
        <v>4339172000</v>
      </c>
      <c r="AA84">
        <v>5093023000</v>
      </c>
      <c r="AB84">
        <v>4612132000</v>
      </c>
      <c r="AC84">
        <v>4385946000</v>
      </c>
      <c r="AD84">
        <v>4138950000</v>
      </c>
      <c r="AE84">
        <v>3246178000</v>
      </c>
      <c r="AF84">
        <v>3178760000</v>
      </c>
      <c r="AG84">
        <v>2142576000</v>
      </c>
      <c r="AH84">
        <v>2334228000</v>
      </c>
      <c r="AI84">
        <v>2783464000</v>
      </c>
      <c r="AJ84">
        <v>2670716000</v>
      </c>
      <c r="AK84">
        <v>2559361000</v>
      </c>
      <c r="AL84">
        <v>1970096000</v>
      </c>
    </row>
    <row r="85" spans="1:38" x14ac:dyDescent="0.25">
      <c r="A85" t="s">
        <v>97</v>
      </c>
      <c r="B85" s="2"/>
    </row>
    <row r="86" spans="1:38" x14ac:dyDescent="0.25">
      <c r="A86" t="s">
        <v>98</v>
      </c>
      <c r="B86" s="2">
        <v>169002749000</v>
      </c>
      <c r="C86">
        <v>166109037576.02658</v>
      </c>
      <c r="D86">
        <v>163692387000</v>
      </c>
      <c r="E86">
        <v>153707226734.138</v>
      </c>
      <c r="F86">
        <v>151363037294.7066</v>
      </c>
      <c r="G86">
        <v>149067556274.69891</v>
      </c>
      <c r="H86">
        <v>147077519794.93399</v>
      </c>
      <c r="I86">
        <v>49024724000</v>
      </c>
      <c r="J86">
        <v>44627733000</v>
      </c>
      <c r="K86">
        <v>41926314000</v>
      </c>
      <c r="L86">
        <v>134510728844.631</v>
      </c>
      <c r="M86">
        <v>30853848000</v>
      </c>
      <c r="N86">
        <v>28871065000</v>
      </c>
      <c r="O86">
        <v>27288004000</v>
      </c>
      <c r="P86">
        <v>25563442000</v>
      </c>
      <c r="Q86">
        <v>20619121000</v>
      </c>
      <c r="R86">
        <v>20040674000</v>
      </c>
      <c r="S86">
        <v>19126526000</v>
      </c>
      <c r="T86">
        <v>17881761000</v>
      </c>
      <c r="U86">
        <v>16143236000</v>
      </c>
      <c r="V86">
        <v>14999479000</v>
      </c>
      <c r="W86">
        <v>14419001000</v>
      </c>
      <c r="X86">
        <v>13498388000</v>
      </c>
      <c r="Y86">
        <v>11939286000</v>
      </c>
      <c r="Z86">
        <v>11303693000</v>
      </c>
      <c r="AA86">
        <v>10763445000</v>
      </c>
      <c r="AB86">
        <v>10132601000</v>
      </c>
      <c r="AC86">
        <v>9381588000</v>
      </c>
      <c r="AD86">
        <v>8574965000</v>
      </c>
      <c r="AE86">
        <v>5039480000</v>
      </c>
      <c r="AF86">
        <v>4767581000</v>
      </c>
      <c r="AG86">
        <v>4442683000</v>
      </c>
      <c r="AH86">
        <v>4178373000</v>
      </c>
      <c r="AI86">
        <v>3939871000</v>
      </c>
      <c r="AJ86">
        <v>3691004000</v>
      </c>
      <c r="AK86">
        <v>3190582000</v>
      </c>
      <c r="AL86">
        <v>3036704000</v>
      </c>
    </row>
    <row r="87" spans="1:38" x14ac:dyDescent="0.25">
      <c r="A87" t="s">
        <v>99</v>
      </c>
      <c r="B87" s="2">
        <v>4560000000</v>
      </c>
      <c r="C87">
        <v>4560000000</v>
      </c>
      <c r="D87">
        <v>4560000000</v>
      </c>
      <c r="E87">
        <v>4560000000</v>
      </c>
      <c r="F87">
        <v>4560000000</v>
      </c>
      <c r="G87">
        <v>4560000000</v>
      </c>
      <c r="H87">
        <v>4560000000</v>
      </c>
      <c r="I87">
        <v>4560000000</v>
      </c>
      <c r="J87">
        <v>2280000000</v>
      </c>
      <c r="K87">
        <v>2280000000</v>
      </c>
      <c r="L87">
        <v>2280000000</v>
      </c>
      <c r="M87">
        <v>2280000000</v>
      </c>
      <c r="N87">
        <v>2280000000</v>
      </c>
      <c r="O87">
        <v>2280000000</v>
      </c>
      <c r="P87">
        <v>2280000000</v>
      </c>
      <c r="Q87">
        <v>2280000000</v>
      </c>
      <c r="R87">
        <v>2280000000</v>
      </c>
      <c r="S87">
        <v>2280000000</v>
      </c>
      <c r="T87">
        <v>2280000000</v>
      </c>
      <c r="U87">
        <v>2280000000</v>
      </c>
      <c r="V87">
        <v>2280000000</v>
      </c>
      <c r="W87">
        <v>1140000000</v>
      </c>
      <c r="X87">
        <v>1140000000</v>
      </c>
      <c r="Y87">
        <v>1140000000</v>
      </c>
      <c r="Z87">
        <v>1140000000</v>
      </c>
      <c r="AA87">
        <v>1140000000</v>
      </c>
      <c r="AB87">
        <v>1140000000</v>
      </c>
      <c r="AC87">
        <v>1140000000</v>
      </c>
      <c r="AD87">
        <v>1140000000</v>
      </c>
      <c r="AE87">
        <v>1000000000</v>
      </c>
      <c r="AF87">
        <v>1000000000</v>
      </c>
      <c r="AG87">
        <v>1000000000</v>
      </c>
      <c r="AH87">
        <v>1000000000</v>
      </c>
      <c r="AI87">
        <v>1000000000</v>
      </c>
      <c r="AJ87">
        <v>1000000000</v>
      </c>
      <c r="AK87">
        <v>1000000000</v>
      </c>
      <c r="AL87">
        <v>1000000000</v>
      </c>
    </row>
    <row r="88" spans="1:38" x14ac:dyDescent="0.25">
      <c r="A88" t="s">
        <v>100</v>
      </c>
      <c r="B88" s="2">
        <v>28994442000</v>
      </c>
      <c r="C88">
        <v>28994493073.638859</v>
      </c>
      <c r="D88">
        <v>28994442000</v>
      </c>
      <c r="E88">
        <v>28994422554.901516</v>
      </c>
      <c r="F88">
        <v>28994421634.741669</v>
      </c>
      <c r="G88">
        <v>28994421723.277264</v>
      </c>
      <c r="H88">
        <v>28994422502.955803</v>
      </c>
      <c r="I88">
        <v>98621000</v>
      </c>
      <c r="J88">
        <v>98621000</v>
      </c>
      <c r="K88">
        <v>98621000</v>
      </c>
      <c r="L88">
        <v>25849453140.573738</v>
      </c>
      <c r="M88">
        <v>98621000</v>
      </c>
      <c r="N88">
        <v>98621000</v>
      </c>
      <c r="O88">
        <v>98621000</v>
      </c>
      <c r="P88">
        <v>98621000</v>
      </c>
      <c r="Q88">
        <v>98621000</v>
      </c>
      <c r="R88">
        <v>98621000</v>
      </c>
      <c r="S88">
        <v>98621000</v>
      </c>
      <c r="T88">
        <v>98621000</v>
      </c>
      <c r="U88">
        <v>98621000</v>
      </c>
      <c r="V88">
        <v>98621000</v>
      </c>
      <c r="W88">
        <v>98621000</v>
      </c>
      <c r="X88">
        <v>98621000</v>
      </c>
      <c r="Y88">
        <v>98621000</v>
      </c>
      <c r="Z88">
        <v>98621000</v>
      </c>
      <c r="AA88">
        <v>98621000</v>
      </c>
      <c r="AB88">
        <v>98621000</v>
      </c>
      <c r="AC88">
        <v>98621000</v>
      </c>
      <c r="AD88">
        <v>98621000</v>
      </c>
      <c r="AE88">
        <v>98621000</v>
      </c>
      <c r="AF88">
        <v>98621000</v>
      </c>
      <c r="AG88">
        <v>98621000</v>
      </c>
      <c r="AH88">
        <v>98621000</v>
      </c>
      <c r="AI88">
        <v>98621000</v>
      </c>
      <c r="AJ88">
        <v>98621000</v>
      </c>
      <c r="AK88">
        <v>98621000</v>
      </c>
      <c r="AL88">
        <v>98621000</v>
      </c>
    </row>
    <row r="89" spans="1:38" x14ac:dyDescent="0.25">
      <c r="A89" t="s">
        <v>101</v>
      </c>
      <c r="B89" s="2"/>
    </row>
    <row r="90" spans="1:38" x14ac:dyDescent="0.25">
      <c r="A90" t="s">
        <v>102</v>
      </c>
      <c r="B90" s="2"/>
    </row>
    <row r="91" spans="1:38" x14ac:dyDescent="0.25">
      <c r="A91" t="s">
        <v>103</v>
      </c>
      <c r="B91" s="2"/>
    </row>
    <row r="92" spans="1:38" x14ac:dyDescent="0.25">
      <c r="A92" t="s">
        <v>104</v>
      </c>
      <c r="B92" s="2"/>
    </row>
    <row r="93" spans="1:38" x14ac:dyDescent="0.25">
      <c r="A93" t="s">
        <v>105</v>
      </c>
      <c r="B93" s="2"/>
    </row>
    <row r="94" spans="1:38" x14ac:dyDescent="0.25">
      <c r="A94" t="s">
        <v>106</v>
      </c>
      <c r="B94" s="2">
        <v>24507098000</v>
      </c>
      <c r="C94">
        <v>24507135292.166016</v>
      </c>
      <c r="D94">
        <v>24507098000</v>
      </c>
      <c r="E94">
        <v>24507102592.321941</v>
      </c>
      <c r="F94">
        <v>24507102896.028526</v>
      </c>
      <c r="G94">
        <v>24507101969.567238</v>
      </c>
      <c r="H94">
        <v>24507083741.364475</v>
      </c>
      <c r="I94">
        <v>2796723000</v>
      </c>
      <c r="J94">
        <v>2796723000</v>
      </c>
      <c r="K94">
        <v>2796723000</v>
      </c>
      <c r="L94">
        <v>24507083324.323162</v>
      </c>
      <c r="M94">
        <v>2796723000</v>
      </c>
      <c r="N94">
        <v>2796723000</v>
      </c>
      <c r="O94">
        <v>2796723000</v>
      </c>
      <c r="P94">
        <v>2796723000</v>
      </c>
      <c r="Q94">
        <v>2796723000</v>
      </c>
      <c r="R94">
        <v>2796723000</v>
      </c>
      <c r="S94">
        <v>2796723000</v>
      </c>
      <c r="T94">
        <v>2796723000</v>
      </c>
      <c r="U94">
        <v>2796723000</v>
      </c>
      <c r="V94">
        <v>2796723000</v>
      </c>
      <c r="W94">
        <v>2796723000</v>
      </c>
      <c r="X94">
        <v>2796723000</v>
      </c>
      <c r="Y94">
        <v>2796723000</v>
      </c>
      <c r="Z94">
        <v>2796723000</v>
      </c>
      <c r="AA94">
        <v>2796723000</v>
      </c>
      <c r="AB94">
        <v>2796723000</v>
      </c>
      <c r="AC94">
        <v>2796723000</v>
      </c>
      <c r="AD94">
        <v>2801742000</v>
      </c>
      <c r="AF94">
        <v>0</v>
      </c>
    </row>
    <row r="95" spans="1:38" x14ac:dyDescent="0.25">
      <c r="A95" t="s">
        <v>107</v>
      </c>
      <c r="B95" s="2"/>
    </row>
    <row r="96" spans="1:38" x14ac:dyDescent="0.25">
      <c r="A96" t="s">
        <v>108</v>
      </c>
      <c r="B96" s="2"/>
    </row>
    <row r="97" spans="1:38" x14ac:dyDescent="0.25">
      <c r="A97" t="s">
        <v>109</v>
      </c>
      <c r="B97" s="2">
        <v>3851815000</v>
      </c>
      <c r="C97">
        <v>3870064767.3393826</v>
      </c>
      <c r="D97">
        <v>3870059000</v>
      </c>
      <c r="E97">
        <v>3508226055.2340312</v>
      </c>
      <c r="F97">
        <v>3694289778.0139613</v>
      </c>
      <c r="G97">
        <v>3707258822.8112578</v>
      </c>
      <c r="H97">
        <v>3707259303.4251556</v>
      </c>
      <c r="I97">
        <v>628365000</v>
      </c>
      <c r="J97">
        <v>637364000</v>
      </c>
      <c r="K97">
        <v>780009000</v>
      </c>
      <c r="L97">
        <v>26467239.101205777</v>
      </c>
      <c r="M97">
        <v>62645000</v>
      </c>
      <c r="N97">
        <v>67621000</v>
      </c>
      <c r="O97">
        <v>186416000</v>
      </c>
      <c r="P97">
        <v>186416000</v>
      </c>
      <c r="Q97">
        <v>228651000</v>
      </c>
      <c r="R97">
        <v>247020000</v>
      </c>
      <c r="S97">
        <v>248103000</v>
      </c>
      <c r="T97">
        <v>248103000</v>
      </c>
      <c r="U97">
        <v>152833000</v>
      </c>
      <c r="V97">
        <v>164524000</v>
      </c>
      <c r="W97">
        <v>175077000</v>
      </c>
      <c r="X97">
        <v>175077000</v>
      </c>
      <c r="Y97">
        <v>189142000</v>
      </c>
      <c r="Z97">
        <v>193187000</v>
      </c>
      <c r="AA97">
        <v>189358000</v>
      </c>
      <c r="AB97">
        <v>189358000</v>
      </c>
      <c r="AC97">
        <v>203673000</v>
      </c>
      <c r="AD97">
        <v>203999000</v>
      </c>
      <c r="AE97">
        <v>209087000</v>
      </c>
      <c r="AF97">
        <v>209087000</v>
      </c>
      <c r="AG97">
        <v>218530000</v>
      </c>
      <c r="AH97">
        <v>216508000</v>
      </c>
      <c r="AI97">
        <v>219355000</v>
      </c>
      <c r="AJ97">
        <v>219355000</v>
      </c>
      <c r="AK97">
        <v>204020000</v>
      </c>
      <c r="AL97">
        <v>203451000</v>
      </c>
    </row>
    <row r="98" spans="1:38" x14ac:dyDescent="0.25">
      <c r="A98" t="s">
        <v>110</v>
      </c>
      <c r="B98" s="2">
        <v>-714000000</v>
      </c>
      <c r="C98">
        <v>-702919969.70917428</v>
      </c>
      <c r="D98">
        <v>-707862000</v>
      </c>
      <c r="E98">
        <v>-59234684.097602688</v>
      </c>
      <c r="F98">
        <v>-48348769.739877284</v>
      </c>
      <c r="G98">
        <v>29697106.503012434</v>
      </c>
      <c r="H98">
        <v>94773066.968393221</v>
      </c>
      <c r="I98">
        <v>4340291000</v>
      </c>
      <c r="J98">
        <v>4321985000</v>
      </c>
      <c r="K98">
        <v>4223939000</v>
      </c>
      <c r="L98">
        <v>2379497780.9162192</v>
      </c>
      <c r="M98">
        <v>2259997000</v>
      </c>
      <c r="N98">
        <v>2228597000</v>
      </c>
      <c r="O98">
        <v>2206757000</v>
      </c>
      <c r="P98">
        <v>2177786000</v>
      </c>
      <c r="Q98">
        <v>1180819000</v>
      </c>
      <c r="R98">
        <v>1186498000</v>
      </c>
      <c r="S98">
        <v>1175895000</v>
      </c>
      <c r="T98">
        <v>1164981000</v>
      </c>
      <c r="U98">
        <v>982394000</v>
      </c>
      <c r="V98">
        <v>973757000</v>
      </c>
      <c r="W98">
        <v>969216000</v>
      </c>
      <c r="X98">
        <v>968740000</v>
      </c>
      <c r="Y98">
        <v>761015000</v>
      </c>
      <c r="Z98">
        <v>763434000</v>
      </c>
      <c r="AA98">
        <v>756667000</v>
      </c>
      <c r="AB98">
        <v>755119000</v>
      </c>
      <c r="AC98">
        <v>572485000</v>
      </c>
      <c r="AD98">
        <v>554223000</v>
      </c>
      <c r="AE98">
        <v>545828000</v>
      </c>
      <c r="AF98">
        <v>540690000</v>
      </c>
      <c r="AG98">
        <v>485936000</v>
      </c>
      <c r="AH98">
        <v>487171000</v>
      </c>
      <c r="AI98">
        <v>489512000</v>
      </c>
      <c r="AJ98">
        <v>486030000</v>
      </c>
      <c r="AK98">
        <v>406875000</v>
      </c>
      <c r="AL98">
        <v>406810000</v>
      </c>
    </row>
    <row r="99" spans="1:38" x14ac:dyDescent="0.25">
      <c r="A99" t="s">
        <v>111</v>
      </c>
      <c r="B99" s="2">
        <v>6465357000</v>
      </c>
      <c r="C99">
        <v>5925166194.1692696</v>
      </c>
      <c r="D99">
        <v>5925157000</v>
      </c>
      <c r="E99">
        <v>5928884265.6680498</v>
      </c>
      <c r="F99">
        <v>5934524169.5518904</v>
      </c>
      <c r="G99">
        <v>5865649208.2291431</v>
      </c>
      <c r="H99">
        <v>5865650012.0280867</v>
      </c>
      <c r="I99">
        <v>642665000</v>
      </c>
      <c r="J99">
        <v>640677000</v>
      </c>
      <c r="K99">
        <v>612077000</v>
      </c>
      <c r="L99">
        <v>5769436993.0944729</v>
      </c>
      <c r="M99">
        <v>612078000</v>
      </c>
      <c r="N99">
        <v>612078000</v>
      </c>
      <c r="O99">
        <v>542341000</v>
      </c>
      <c r="P99">
        <v>542341000</v>
      </c>
      <c r="Q99">
        <v>542341000</v>
      </c>
      <c r="R99">
        <v>538362000</v>
      </c>
      <c r="S99">
        <v>312371000</v>
      </c>
      <c r="T99">
        <v>312371000</v>
      </c>
      <c r="U99">
        <v>312371000</v>
      </c>
      <c r="V99">
        <v>312371000</v>
      </c>
      <c r="W99">
        <v>278188000</v>
      </c>
      <c r="X99">
        <v>276827000</v>
      </c>
      <c r="Y99">
        <v>276827000</v>
      </c>
      <c r="Z99">
        <v>276827000</v>
      </c>
      <c r="AA99">
        <v>173669000</v>
      </c>
      <c r="AB99">
        <v>172687000</v>
      </c>
      <c r="AC99">
        <v>172687000</v>
      </c>
      <c r="AD99">
        <v>172687000</v>
      </c>
      <c r="AE99">
        <v>172686000</v>
      </c>
      <c r="AF99">
        <v>124062000</v>
      </c>
      <c r="AG99">
        <v>124062000</v>
      </c>
      <c r="AH99">
        <v>124062000</v>
      </c>
      <c r="AI99">
        <v>124063000</v>
      </c>
      <c r="AJ99">
        <v>94159000</v>
      </c>
      <c r="AK99">
        <v>94159000</v>
      </c>
      <c r="AL99">
        <v>94159000</v>
      </c>
    </row>
    <row r="100" spans="1:38" x14ac:dyDescent="0.25">
      <c r="A100" t="s">
        <v>112</v>
      </c>
      <c r="B100" s="2"/>
    </row>
    <row r="101" spans="1:38" x14ac:dyDescent="0.25">
      <c r="A101" t="s">
        <v>113</v>
      </c>
      <c r="B101" s="2"/>
    </row>
    <row r="102" spans="1:38" x14ac:dyDescent="0.25">
      <c r="A102" t="s">
        <v>114</v>
      </c>
      <c r="B102" s="2"/>
    </row>
    <row r="103" spans="1:38" x14ac:dyDescent="0.25">
      <c r="A103" t="s">
        <v>115</v>
      </c>
      <c r="B103" s="2">
        <v>94933293000</v>
      </c>
      <c r="C103">
        <v>96543640356.270874</v>
      </c>
      <c r="D103">
        <v>78693837000</v>
      </c>
      <c r="E103">
        <v>78652750656.494446</v>
      </c>
      <c r="F103">
        <v>78590708459.075851</v>
      </c>
      <c r="G103">
        <v>79348330578.559189</v>
      </c>
      <c r="H103">
        <v>67067352256.024284</v>
      </c>
      <c r="I103">
        <v>26156892000</v>
      </c>
      <c r="J103">
        <v>28438880000</v>
      </c>
      <c r="K103">
        <v>28867480000</v>
      </c>
      <c r="L103">
        <v>71539293088.115387</v>
      </c>
      <c r="M103">
        <v>16951818000</v>
      </c>
      <c r="N103">
        <v>16951818000</v>
      </c>
      <c r="O103">
        <v>17481555000</v>
      </c>
      <c r="P103">
        <v>10350992000</v>
      </c>
      <c r="Q103">
        <v>10350992000</v>
      </c>
      <c r="R103">
        <v>10354971000</v>
      </c>
      <c r="S103">
        <v>10980962000</v>
      </c>
      <c r="T103">
        <v>6531856000</v>
      </c>
      <c r="U103">
        <v>6531856000</v>
      </c>
      <c r="V103">
        <v>6531856000</v>
      </c>
      <c r="W103">
        <v>8041039000</v>
      </c>
      <c r="X103">
        <v>4701953000</v>
      </c>
      <c r="Y103">
        <v>4701953000</v>
      </c>
      <c r="Z103">
        <v>4701953000</v>
      </c>
      <c r="AA103">
        <v>4979111000</v>
      </c>
      <c r="AB103">
        <v>2661896000</v>
      </c>
      <c r="AC103">
        <v>2661896000</v>
      </c>
      <c r="AD103">
        <v>2661896000</v>
      </c>
      <c r="AE103">
        <v>2661897000</v>
      </c>
      <c r="AF103">
        <v>1419220000</v>
      </c>
      <c r="AG103">
        <v>1687436000</v>
      </c>
      <c r="AH103">
        <v>1687436000</v>
      </c>
      <c r="AI103">
        <v>1687436000</v>
      </c>
      <c r="AJ103">
        <v>997648000</v>
      </c>
      <c r="AK103">
        <v>997649000</v>
      </c>
      <c r="AL103">
        <v>997649000</v>
      </c>
    </row>
    <row r="104" spans="1:38" x14ac:dyDescent="0.25">
      <c r="A104" t="s">
        <v>116</v>
      </c>
      <c r="B104" s="2">
        <v>6404744000</v>
      </c>
      <c r="C104">
        <v>2411457862.1513596</v>
      </c>
      <c r="D104">
        <v>17849656000</v>
      </c>
      <c r="E104">
        <v>7615075293.6156073</v>
      </c>
      <c r="F104">
        <v>5130339127.0345669</v>
      </c>
      <c r="G104">
        <v>2055096865.7517986</v>
      </c>
      <c r="H104">
        <v>12280978912.167776</v>
      </c>
      <c r="I104">
        <v>9801167000</v>
      </c>
      <c r="J104">
        <v>5413483000</v>
      </c>
      <c r="K104">
        <v>2267465000</v>
      </c>
      <c r="L104">
        <v>2159497278.506814</v>
      </c>
      <c r="M104">
        <v>5791966000</v>
      </c>
      <c r="N104">
        <v>3835607000</v>
      </c>
      <c r="O104">
        <v>1695591000</v>
      </c>
      <c r="P104">
        <v>7130563000</v>
      </c>
      <c r="Q104">
        <v>3140974000</v>
      </c>
      <c r="R104">
        <v>2538479000</v>
      </c>
      <c r="S104">
        <v>1233851000</v>
      </c>
      <c r="T104">
        <v>4449106000</v>
      </c>
      <c r="U104">
        <v>2988438000</v>
      </c>
      <c r="V104">
        <v>1841627000</v>
      </c>
      <c r="W104">
        <v>920137000</v>
      </c>
      <c r="X104">
        <v>3340447000</v>
      </c>
      <c r="Y104">
        <v>1975005000</v>
      </c>
      <c r="Z104">
        <v>1332948000</v>
      </c>
      <c r="AA104">
        <v>629296000</v>
      </c>
      <c r="AB104">
        <v>2318197000</v>
      </c>
      <c r="AC104">
        <v>1735503000</v>
      </c>
      <c r="AD104">
        <v>941797000</v>
      </c>
      <c r="AE104">
        <v>351361000</v>
      </c>
      <c r="AF104">
        <v>1375901000</v>
      </c>
      <c r="AG104">
        <v>828098000</v>
      </c>
      <c r="AH104">
        <v>564575000</v>
      </c>
      <c r="AI104">
        <v>320884000</v>
      </c>
      <c r="AJ104">
        <v>795191000</v>
      </c>
      <c r="AK104">
        <v>389258000</v>
      </c>
      <c r="AL104">
        <v>236014000</v>
      </c>
    </row>
    <row r="105" spans="1:38" x14ac:dyDescent="0.25">
      <c r="A105" t="s">
        <v>117</v>
      </c>
      <c r="B105" s="2">
        <v>1242853000</v>
      </c>
      <c r="C105">
        <v>1087176314.0667887</v>
      </c>
      <c r="D105">
        <v>1236988000</v>
      </c>
      <c r="E105">
        <v>1718243521.324857</v>
      </c>
      <c r="F105">
        <v>1594851714.4557173</v>
      </c>
      <c r="G105">
        <v>1560006499.3245993</v>
      </c>
      <c r="H105">
        <v>1801336979.4527948</v>
      </c>
      <c r="I105">
        <v>285748000</v>
      </c>
      <c r="J105">
        <v>216609000</v>
      </c>
      <c r="K105">
        <v>210820000</v>
      </c>
      <c r="L105">
        <v>1608912334.9611158</v>
      </c>
      <c r="M105">
        <v>214807000</v>
      </c>
      <c r="N105">
        <v>232744000</v>
      </c>
      <c r="O105">
        <v>253119000</v>
      </c>
      <c r="P105">
        <v>271768000</v>
      </c>
      <c r="Q105">
        <v>269660000</v>
      </c>
      <c r="R105">
        <v>246207000</v>
      </c>
      <c r="S105">
        <v>211318000</v>
      </c>
      <c r="T105">
        <v>216342000</v>
      </c>
      <c r="U105">
        <v>148356000</v>
      </c>
      <c r="V105">
        <v>81755000</v>
      </c>
      <c r="W105">
        <v>75488000</v>
      </c>
      <c r="X105">
        <v>70511000</v>
      </c>
      <c r="Y105">
        <v>50534000</v>
      </c>
      <c r="Z105">
        <v>48981000</v>
      </c>
      <c r="AA105">
        <v>46973000</v>
      </c>
      <c r="AB105">
        <v>44420000</v>
      </c>
      <c r="AC105">
        <v>573000</v>
      </c>
      <c r="AD105">
        <v>551000</v>
      </c>
      <c r="AE105">
        <v>523000</v>
      </c>
      <c r="AF105">
        <v>542000</v>
      </c>
      <c r="AG105">
        <v>527000</v>
      </c>
      <c r="AH105">
        <v>511000</v>
      </c>
      <c r="AI105">
        <v>457000</v>
      </c>
      <c r="AJ105">
        <v>463000</v>
      </c>
      <c r="AK105">
        <v>330000</v>
      </c>
      <c r="AL105">
        <v>399000</v>
      </c>
    </row>
    <row r="106" spans="1:38" x14ac:dyDescent="0.25">
      <c r="A106" t="s">
        <v>118</v>
      </c>
      <c r="B106" s="2">
        <v>170245602000</v>
      </c>
      <c r="C106">
        <v>167196213890.09338</v>
      </c>
      <c r="D106">
        <v>164929375000</v>
      </c>
      <c r="E106">
        <v>155425470255.46286</v>
      </c>
      <c r="F106">
        <v>152957889009.16229</v>
      </c>
      <c r="G106">
        <v>150627562774.0235</v>
      </c>
      <c r="H106">
        <v>148878856774.38678</v>
      </c>
      <c r="I106">
        <v>49310472000</v>
      </c>
      <c r="J106">
        <v>44844342000</v>
      </c>
      <c r="K106">
        <v>42137134000</v>
      </c>
      <c r="L106">
        <v>136119641179.59213</v>
      </c>
      <c r="M106">
        <v>31068655000</v>
      </c>
      <c r="N106">
        <v>29103809000</v>
      </c>
      <c r="O106">
        <v>27541123000</v>
      </c>
      <c r="P106">
        <v>25835210000</v>
      </c>
      <c r="Q106">
        <v>20888781000</v>
      </c>
      <c r="R106">
        <v>20286881000</v>
      </c>
      <c r="S106">
        <v>19337844000</v>
      </c>
      <c r="T106">
        <v>18098103000</v>
      </c>
      <c r="U106">
        <v>16291592000</v>
      </c>
      <c r="V106">
        <v>15081234000</v>
      </c>
      <c r="W106">
        <v>14494489000</v>
      </c>
      <c r="X106">
        <v>13568899000</v>
      </c>
      <c r="Y106">
        <v>11989820000</v>
      </c>
      <c r="Z106">
        <v>11352674000</v>
      </c>
      <c r="AA106">
        <v>10810418000</v>
      </c>
      <c r="AB106">
        <v>10177021000</v>
      </c>
      <c r="AC106">
        <v>9382161000</v>
      </c>
      <c r="AD106">
        <v>8575516000</v>
      </c>
      <c r="AE106">
        <v>5040003000</v>
      </c>
      <c r="AF106">
        <v>4768123000</v>
      </c>
      <c r="AG106">
        <v>4443210000</v>
      </c>
      <c r="AH106">
        <v>4178884000</v>
      </c>
      <c r="AI106">
        <v>3940328000</v>
      </c>
      <c r="AJ106">
        <v>3691467000</v>
      </c>
      <c r="AK106">
        <v>3190912000</v>
      </c>
      <c r="AL106">
        <v>3037103000</v>
      </c>
    </row>
    <row r="107" spans="1:38" x14ac:dyDescent="0.25">
      <c r="A107" t="s">
        <v>119</v>
      </c>
      <c r="B107" s="2">
        <v>290272305000</v>
      </c>
      <c r="C107">
        <v>286266679033.9325</v>
      </c>
      <c r="D107">
        <v>283281569000</v>
      </c>
      <c r="E107">
        <v>263240389285.22345</v>
      </c>
      <c r="F107">
        <v>250527398503.90857</v>
      </c>
      <c r="G107">
        <v>238877534049.16174</v>
      </c>
      <c r="H107">
        <v>253652042821.76532</v>
      </c>
      <c r="I107">
        <v>99351769000</v>
      </c>
      <c r="J107">
        <v>88458389000</v>
      </c>
      <c r="K107">
        <v>77300847000</v>
      </c>
      <c r="L107">
        <v>243923482134.14688</v>
      </c>
      <c r="M107">
        <v>58462747000</v>
      </c>
      <c r="N107">
        <v>53629118000</v>
      </c>
      <c r="O107">
        <v>49301630000</v>
      </c>
      <c r="P107">
        <v>46413298000</v>
      </c>
      <c r="Q107">
        <v>35389774000</v>
      </c>
      <c r="R107">
        <v>35704364000</v>
      </c>
      <c r="S107">
        <v>34350779000</v>
      </c>
      <c r="T107">
        <v>34094229000</v>
      </c>
      <c r="U107">
        <v>28898609000</v>
      </c>
      <c r="V107">
        <v>27010181000</v>
      </c>
      <c r="W107">
        <v>26243556000</v>
      </c>
      <c r="X107">
        <v>25633043000</v>
      </c>
      <c r="Y107">
        <v>22390128000</v>
      </c>
      <c r="Z107">
        <v>21127496000</v>
      </c>
      <c r="AA107">
        <v>20215124000</v>
      </c>
      <c r="AB107">
        <v>19473631000</v>
      </c>
      <c r="AC107">
        <v>17811022000</v>
      </c>
      <c r="AD107">
        <v>16109507000</v>
      </c>
      <c r="AE107">
        <v>12197052000</v>
      </c>
      <c r="AF107">
        <v>11638596000</v>
      </c>
      <c r="AG107">
        <v>9472812000</v>
      </c>
      <c r="AH107">
        <v>8956560000</v>
      </c>
      <c r="AI107">
        <v>8559927000</v>
      </c>
      <c r="AJ107">
        <v>8597861000</v>
      </c>
      <c r="AK107">
        <v>7275451000</v>
      </c>
      <c r="AL107">
        <v>6586131000</v>
      </c>
    </row>
    <row r="108" spans="1:38" x14ac:dyDescent="0.25">
      <c r="A108" t="s">
        <v>120</v>
      </c>
      <c r="B108" s="2">
        <v>14326588000</v>
      </c>
      <c r="C108">
        <v>14284318798.94676</v>
      </c>
      <c r="D108">
        <v>25483988000</v>
      </c>
      <c r="E108">
        <v>30994046917.048016</v>
      </c>
      <c r="G108">
        <v>30767367675.882351</v>
      </c>
      <c r="H108">
        <v>20053083281.291092</v>
      </c>
      <c r="I108">
        <v>18888121000</v>
      </c>
      <c r="J108">
        <v>16494011000</v>
      </c>
      <c r="K108">
        <v>12535586000</v>
      </c>
      <c r="L108">
        <v>34613168684.626053</v>
      </c>
      <c r="M108">
        <v>12629828000</v>
      </c>
      <c r="N108">
        <v>11689710000</v>
      </c>
      <c r="O108">
        <v>8897570000</v>
      </c>
      <c r="P108">
        <v>7760605000</v>
      </c>
      <c r="Q108">
        <v>5850860000</v>
      </c>
      <c r="R108">
        <v>6887307000</v>
      </c>
      <c r="S108">
        <v>7479408000</v>
      </c>
      <c r="U108">
        <v>3644698000</v>
      </c>
      <c r="V108">
        <v>2128821000</v>
      </c>
      <c r="W108">
        <v>2304353000</v>
      </c>
      <c r="Y108">
        <v>1489736000</v>
      </c>
      <c r="Z108">
        <v>1640617000</v>
      </c>
      <c r="AA108">
        <v>1272045000</v>
      </c>
      <c r="AC108">
        <v>456927000</v>
      </c>
      <c r="AD108">
        <v>-938000</v>
      </c>
      <c r="AE108">
        <v>618515000</v>
      </c>
      <c r="AG108">
        <v>928866000</v>
      </c>
      <c r="AH108">
        <v>1151858000</v>
      </c>
      <c r="AI108">
        <v>743199000</v>
      </c>
      <c r="AK108">
        <v>469894000</v>
      </c>
      <c r="AL108">
        <v>422942000</v>
      </c>
    </row>
  </sheetData>
  <pageMargins left="0.7" right="0.7" top="0.75" bottom="0.75" header="0.3" footer="0.3"/>
  <ignoredErrors>
    <ignoredError sqref="A1:AL12 A14:AL108 A13:B13 E13:AL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50"/>
  <sheetViews>
    <sheetView workbookViewId="0"/>
  </sheetViews>
  <sheetFormatPr defaultRowHeight="15.75" x14ac:dyDescent="0.25"/>
  <cols>
    <col min="1" max="1" width="40" customWidth="1"/>
    <col min="2" max="39" width="20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121</v>
      </c>
    </row>
    <row r="2" spans="1:39" x14ac:dyDescent="0.25">
      <c r="A2" t="s">
        <v>122</v>
      </c>
    </row>
    <row r="3" spans="1:39" x14ac:dyDescent="0.25">
      <c r="A3" t="s">
        <v>123</v>
      </c>
      <c r="B3">
        <v>53710197000</v>
      </c>
      <c r="C3">
        <v>24159815000</v>
      </c>
      <c r="D3">
        <v>140248591145.24966</v>
      </c>
      <c r="E3">
        <v>75281355556.025742</v>
      </c>
      <c r="F3">
        <v>48237741000</v>
      </c>
      <c r="G3">
        <v>22163502000</v>
      </c>
      <c r="H3">
        <v>123968784777.45247</v>
      </c>
      <c r="I3">
        <v>65793025224.237595</v>
      </c>
      <c r="J3">
        <v>44558880367.966064</v>
      </c>
      <c r="K3">
        <v>21083176478.133396</v>
      </c>
      <c r="L3">
        <v>112627554239.08508</v>
      </c>
      <c r="M3">
        <v>17728397000</v>
      </c>
      <c r="N3">
        <v>10841207000</v>
      </c>
      <c r="O3">
        <v>4365256000</v>
      </c>
      <c r="P3">
        <v>20138953000</v>
      </c>
      <c r="Q3">
        <v>10292348000</v>
      </c>
      <c r="R3">
        <v>6974677000</v>
      </c>
      <c r="S3">
        <v>3173135000</v>
      </c>
      <c r="T3">
        <v>16104455000</v>
      </c>
      <c r="U3">
        <v>8422668000</v>
      </c>
      <c r="V3">
        <v>5230659000</v>
      </c>
      <c r="W3">
        <v>2595267000</v>
      </c>
      <c r="X3">
        <v>13012551000</v>
      </c>
      <c r="Y3">
        <v>7647673000</v>
      </c>
      <c r="Z3">
        <v>4624415000</v>
      </c>
      <c r="AA3">
        <v>1998099000</v>
      </c>
      <c r="AB3">
        <v>9008516000</v>
      </c>
      <c r="AC3">
        <v>5213940000</v>
      </c>
      <c r="AD3">
        <v>3279776000</v>
      </c>
      <c r="AE3">
        <v>1365199000</v>
      </c>
      <c r="AF3">
        <v>5412253000</v>
      </c>
      <c r="AG3">
        <v>3451174000</v>
      </c>
      <c r="AH3">
        <v>2211739000</v>
      </c>
      <c r="AI3">
        <v>1074069000</v>
      </c>
      <c r="AJ3">
        <v>3768116000</v>
      </c>
      <c r="AK3">
        <v>2149754000</v>
      </c>
      <c r="AL3">
        <v>1414820000</v>
      </c>
      <c r="AM3">
        <v>633843000</v>
      </c>
    </row>
    <row r="4" spans="1:39" x14ac:dyDescent="0.25">
      <c r="A4" t="s">
        <v>124</v>
      </c>
    </row>
    <row r="5" spans="1:39" x14ac:dyDescent="0.25">
      <c r="A5" t="s">
        <v>125</v>
      </c>
      <c r="B5">
        <v>47668284000</v>
      </c>
      <c r="C5">
        <v>19969614000</v>
      </c>
      <c r="D5">
        <v>121296775592.42331</v>
      </c>
      <c r="E5">
        <v>65355045155.35833</v>
      </c>
      <c r="F5">
        <v>41707276000</v>
      </c>
      <c r="G5">
        <v>17062385000</v>
      </c>
      <c r="H5">
        <v>113197000656.79536</v>
      </c>
      <c r="I5">
        <v>59311837726.201042</v>
      </c>
      <c r="J5">
        <v>39469836.419309355</v>
      </c>
      <c r="K5">
        <v>17934250991.243011</v>
      </c>
      <c r="L5">
        <v>96295290082.613525</v>
      </c>
      <c r="M5">
        <v>14523327000</v>
      </c>
      <c r="N5">
        <v>9243605000</v>
      </c>
      <c r="O5">
        <v>3717369000</v>
      </c>
      <c r="P5">
        <v>18009611000</v>
      </c>
      <c r="Q5">
        <v>9220443000</v>
      </c>
    </row>
    <row r="6" spans="1:39" x14ac:dyDescent="0.25">
      <c r="A6" t="s">
        <v>126</v>
      </c>
      <c r="B6">
        <v>6041913000</v>
      </c>
      <c r="C6">
        <v>2821159000</v>
      </c>
      <c r="D6">
        <v>20005302973.291611</v>
      </c>
      <c r="E6">
        <v>9926310400.6674175</v>
      </c>
      <c r="F6">
        <v>6530465000</v>
      </c>
      <c r="G6">
        <v>3845226000</v>
      </c>
      <c r="H6">
        <v>10902507925.816246</v>
      </c>
      <c r="I6">
        <v>6481187498.0365467</v>
      </c>
      <c r="J6">
        <v>5089043.9486567015</v>
      </c>
      <c r="K6">
        <v>3760155709.0704484</v>
      </c>
      <c r="L6">
        <v>17227005750.002689</v>
      </c>
      <c r="M6">
        <v>3205070000</v>
      </c>
      <c r="N6">
        <v>1597602000</v>
      </c>
      <c r="O6">
        <v>647887000</v>
      </c>
      <c r="P6">
        <v>2242898000</v>
      </c>
      <c r="Q6">
        <v>1071905000</v>
      </c>
    </row>
    <row r="7" spans="1:39" x14ac:dyDescent="0.25">
      <c r="A7" t="s">
        <v>127</v>
      </c>
      <c r="B7">
        <v>-36522229000</v>
      </c>
      <c r="C7">
        <v>-16928682000</v>
      </c>
      <c r="D7">
        <v>-95727929915.445801</v>
      </c>
      <c r="E7">
        <v>-52007092959.93129</v>
      </c>
      <c r="F7">
        <v>-32829000000</v>
      </c>
      <c r="G7">
        <v>-15750253000</v>
      </c>
      <c r="H7">
        <v>-90101128940.146393</v>
      </c>
      <c r="I7">
        <v>-47381020854.478737</v>
      </c>
      <c r="J7">
        <v>-30808963464.439552</v>
      </c>
      <c r="K7">
        <v>-14846079843.73666</v>
      </c>
      <c r="L7">
        <v>-82586998656.826477</v>
      </c>
      <c r="M7">
        <v>-12286169000</v>
      </c>
      <c r="N7">
        <v>-7421958000</v>
      </c>
      <c r="O7">
        <v>-3052485000</v>
      </c>
      <c r="P7">
        <v>-13490042000</v>
      </c>
      <c r="Q7">
        <v>-6891607000</v>
      </c>
      <c r="R7">
        <v>-4399054000</v>
      </c>
      <c r="S7">
        <v>-2241406000</v>
      </c>
      <c r="T7">
        <v>-11499440000</v>
      </c>
      <c r="U7">
        <v>-6182736000</v>
      </c>
      <c r="V7">
        <v>-3676056000</v>
      </c>
      <c r="W7">
        <v>-1843205000</v>
      </c>
      <c r="X7">
        <v>-9640818000</v>
      </c>
      <c r="Y7">
        <v>-5797540000</v>
      </c>
      <c r="Z7">
        <v>-3498680000</v>
      </c>
      <c r="AA7">
        <v>-1532240000</v>
      </c>
      <c r="AB7">
        <v>-6797424000</v>
      </c>
      <c r="AC7">
        <v>-3940719000</v>
      </c>
      <c r="AD7">
        <v>-2459656000</v>
      </c>
      <c r="AE7">
        <v>-1033314000</v>
      </c>
      <c r="AF7">
        <v>-3946278000</v>
      </c>
      <c r="AG7">
        <v>-2608560000</v>
      </c>
      <c r="AH7">
        <v>-1633498000</v>
      </c>
      <c r="AI7">
        <v>-761077000</v>
      </c>
      <c r="AJ7">
        <v>-2845098000</v>
      </c>
      <c r="AK7">
        <v>-1608188000</v>
      </c>
      <c r="AL7">
        <v>-1051430000</v>
      </c>
      <c r="AM7">
        <v>-453033000</v>
      </c>
    </row>
    <row r="8" spans="1:39" x14ac:dyDescent="0.25">
      <c r="A8" t="s">
        <v>128</v>
      </c>
      <c r="B8">
        <v>17187968000</v>
      </c>
      <c r="C8">
        <v>7231133000</v>
      </c>
      <c r="D8">
        <v>44520661229.803879</v>
      </c>
      <c r="E8">
        <v>23274262596.094471</v>
      </c>
      <c r="F8">
        <v>15408741000</v>
      </c>
      <c r="G8">
        <v>6413249000</v>
      </c>
      <c r="H8">
        <v>33867655837.306068</v>
      </c>
      <c r="I8">
        <v>18412004369.758846</v>
      </c>
      <c r="J8">
        <v>13749916903.52651</v>
      </c>
      <c r="K8">
        <v>6237096634.3967333</v>
      </c>
      <c r="L8">
        <v>30040555582.258602</v>
      </c>
      <c r="M8">
        <v>5442228000</v>
      </c>
      <c r="N8">
        <v>3419249000</v>
      </c>
      <c r="O8">
        <v>1312771000</v>
      </c>
      <c r="P8">
        <v>6648911000</v>
      </c>
      <c r="Q8">
        <v>3400741000</v>
      </c>
      <c r="R8">
        <v>2575623000</v>
      </c>
      <c r="S8">
        <v>931729000</v>
      </c>
      <c r="T8">
        <v>4605015000</v>
      </c>
      <c r="U8">
        <v>2239932000</v>
      </c>
      <c r="V8">
        <v>1554603000</v>
      </c>
      <c r="W8">
        <v>752062000</v>
      </c>
      <c r="X8">
        <v>3371733000</v>
      </c>
      <c r="Y8">
        <v>1850133000</v>
      </c>
      <c r="Z8">
        <v>1125735000</v>
      </c>
      <c r="AA8">
        <v>465859000</v>
      </c>
      <c r="AB8">
        <v>2211092000</v>
      </c>
      <c r="AC8">
        <v>1273221000</v>
      </c>
      <c r="AD8">
        <v>820120000</v>
      </c>
      <c r="AE8">
        <v>331885000</v>
      </c>
      <c r="AF8">
        <v>1465975000</v>
      </c>
      <c r="AG8">
        <v>842614000</v>
      </c>
      <c r="AH8">
        <v>578241000</v>
      </c>
      <c r="AI8">
        <v>312992000</v>
      </c>
      <c r="AJ8">
        <v>923018000</v>
      </c>
      <c r="AK8">
        <v>541566000</v>
      </c>
      <c r="AL8">
        <v>363390000</v>
      </c>
      <c r="AM8">
        <v>180810000</v>
      </c>
    </row>
    <row r="9" spans="1:39" x14ac:dyDescent="0.25">
      <c r="A9" t="s">
        <v>129</v>
      </c>
    </row>
    <row r="10" spans="1:39" x14ac:dyDescent="0.25">
      <c r="A10" t="s">
        <v>130</v>
      </c>
    </row>
    <row r="11" spans="1:39" x14ac:dyDescent="0.25">
      <c r="A11" t="s">
        <v>131</v>
      </c>
    </row>
    <row r="12" spans="1:39" x14ac:dyDescent="0.25">
      <c r="A12" t="s">
        <v>132</v>
      </c>
    </row>
    <row r="13" spans="1:39" x14ac:dyDescent="0.25">
      <c r="A13" t="s">
        <v>133</v>
      </c>
      <c r="B13">
        <v>17187968000</v>
      </c>
      <c r="C13">
        <v>7231133000</v>
      </c>
      <c r="D13">
        <v>44520661229.803879</v>
      </c>
      <c r="E13">
        <v>23274262596.094471</v>
      </c>
      <c r="F13">
        <v>15408741000</v>
      </c>
      <c r="G13">
        <v>6413249000</v>
      </c>
      <c r="H13">
        <v>33867655837.306068</v>
      </c>
      <c r="I13">
        <v>18412004369.758846</v>
      </c>
      <c r="J13">
        <v>13749916903.52651</v>
      </c>
      <c r="K13">
        <v>6237096634.3967333</v>
      </c>
      <c r="L13">
        <v>30040555582.258602</v>
      </c>
      <c r="M13">
        <v>5442228000</v>
      </c>
      <c r="N13">
        <v>3419249000</v>
      </c>
      <c r="O13">
        <v>1312771000</v>
      </c>
      <c r="P13">
        <v>6648911000</v>
      </c>
      <c r="Q13">
        <v>3400741000</v>
      </c>
      <c r="R13">
        <v>2575623000</v>
      </c>
      <c r="S13">
        <v>931729000</v>
      </c>
      <c r="T13">
        <v>4605015000</v>
      </c>
      <c r="U13">
        <v>2239932000</v>
      </c>
      <c r="V13">
        <v>1554603000</v>
      </c>
      <c r="W13">
        <v>752062000</v>
      </c>
      <c r="X13">
        <v>3371733000</v>
      </c>
      <c r="Y13">
        <v>1850133000</v>
      </c>
      <c r="Z13">
        <v>1125735000</v>
      </c>
      <c r="AA13">
        <v>465859000</v>
      </c>
      <c r="AB13">
        <v>2211092000</v>
      </c>
      <c r="AC13">
        <v>1273221000</v>
      </c>
      <c r="AD13">
        <v>820120000</v>
      </c>
      <c r="AE13">
        <v>331885000</v>
      </c>
      <c r="AF13">
        <v>1465975000</v>
      </c>
      <c r="AG13">
        <v>842614000</v>
      </c>
      <c r="AH13">
        <v>578241000</v>
      </c>
      <c r="AI13">
        <v>312992000</v>
      </c>
      <c r="AJ13">
        <v>923018000</v>
      </c>
      <c r="AK13">
        <v>541566000</v>
      </c>
      <c r="AL13">
        <v>363390000</v>
      </c>
      <c r="AM13">
        <v>180810000</v>
      </c>
    </row>
    <row r="15" spans="1:39" x14ac:dyDescent="0.25">
      <c r="A15" t="s">
        <v>134</v>
      </c>
      <c r="B15">
        <v>-2706050000</v>
      </c>
      <c r="C15">
        <v>-1502145000</v>
      </c>
      <c r="D15">
        <v>-6155307045.2515326</v>
      </c>
      <c r="E15">
        <v>-4381448507.5885935</v>
      </c>
      <c r="F15">
        <v>-2976468000</v>
      </c>
      <c r="G15">
        <v>-1515021000</v>
      </c>
      <c r="H15">
        <v>-5706758786.5787563</v>
      </c>
      <c r="I15">
        <v>-3286468577.9404316</v>
      </c>
      <c r="J15">
        <v>-2506278895.6016712</v>
      </c>
      <c r="K15">
        <v>-1163045787.6548429</v>
      </c>
      <c r="L15">
        <v>-4336939789.8385487</v>
      </c>
      <c r="M15">
        <v>-784379000</v>
      </c>
      <c r="N15">
        <v>-433886000</v>
      </c>
      <c r="O15">
        <v>-185956000</v>
      </c>
      <c r="P15">
        <v>-576057000</v>
      </c>
      <c r="Q15">
        <v>-408980000</v>
      </c>
      <c r="R15">
        <v>-261611000</v>
      </c>
      <c r="S15">
        <v>-110750000</v>
      </c>
      <c r="T15">
        <v>-399590000</v>
      </c>
      <c r="U15">
        <v>-285691000</v>
      </c>
      <c r="V15">
        <v>-183097000</v>
      </c>
      <c r="W15">
        <v>-95784000</v>
      </c>
      <c r="X15">
        <v>-343456000</v>
      </c>
      <c r="Y15">
        <v>-238873000</v>
      </c>
      <c r="Z15">
        <v>-153940000</v>
      </c>
      <c r="AA15">
        <v>-71162000</v>
      </c>
      <c r="AB15">
        <v>-221719000</v>
      </c>
      <c r="AC15">
        <v>-158923000</v>
      </c>
      <c r="AD15">
        <v>-100460000</v>
      </c>
      <c r="AE15">
        <v>-44339000</v>
      </c>
      <c r="AF15">
        <v>-177622000</v>
      </c>
      <c r="AG15">
        <v>-127686000</v>
      </c>
      <c r="AH15">
        <v>-82524000</v>
      </c>
      <c r="AI15">
        <v>-39973000</v>
      </c>
      <c r="AJ15">
        <v>-150732000</v>
      </c>
      <c r="AK15">
        <v>-105420000</v>
      </c>
      <c r="AL15">
        <v>-79739000</v>
      </c>
      <c r="AM15">
        <v>-38918000</v>
      </c>
    </row>
    <row r="16" spans="1:39" x14ac:dyDescent="0.25">
      <c r="A16" t="s">
        <v>135</v>
      </c>
      <c r="B16">
        <v>-1366714000</v>
      </c>
      <c r="C16">
        <v>-625713000</v>
      </c>
      <c r="D16">
        <v>-3068071676.0872402</v>
      </c>
      <c r="E16">
        <v>-1833836336.0159295</v>
      </c>
      <c r="F16">
        <v>-1203537000</v>
      </c>
      <c r="G16">
        <v>-495411000</v>
      </c>
      <c r="H16">
        <v>-2436690701.4359946</v>
      </c>
      <c r="I16">
        <v>-1431797067.3195682</v>
      </c>
      <c r="J16">
        <v>-882340401.37283397</v>
      </c>
      <c r="K16">
        <v>-398782478.67235225</v>
      </c>
      <c r="L16">
        <v>-2773236706.595747</v>
      </c>
      <c r="M16">
        <v>-499021000</v>
      </c>
      <c r="N16">
        <v>-286781000</v>
      </c>
      <c r="O16">
        <v>-86765000</v>
      </c>
      <c r="P16">
        <v>-670136000</v>
      </c>
      <c r="Q16">
        <v>-515033000</v>
      </c>
      <c r="R16">
        <v>-416127000</v>
      </c>
      <c r="S16">
        <v>-113700000</v>
      </c>
      <c r="T16">
        <v>-280867000</v>
      </c>
      <c r="U16">
        <v>-170343000</v>
      </c>
      <c r="V16">
        <v>-94430000</v>
      </c>
      <c r="W16">
        <v>-45405000</v>
      </c>
      <c r="X16">
        <v>-204118000</v>
      </c>
      <c r="Y16">
        <v>-129303000</v>
      </c>
      <c r="Z16">
        <v>-80955000</v>
      </c>
      <c r="AA16">
        <v>-29269000</v>
      </c>
      <c r="AB16">
        <v>-150760000</v>
      </c>
      <c r="AC16">
        <v>-98784000</v>
      </c>
      <c r="AD16">
        <v>-64582000</v>
      </c>
      <c r="AE16">
        <v>-25397000</v>
      </c>
      <c r="AF16">
        <v>-164431000</v>
      </c>
      <c r="AG16">
        <v>-82709000</v>
      </c>
      <c r="AH16">
        <v>-53750000</v>
      </c>
      <c r="AI16">
        <v>-22930000</v>
      </c>
      <c r="AJ16">
        <v>-83758000</v>
      </c>
      <c r="AK16">
        <v>-49841000</v>
      </c>
      <c r="AL16">
        <v>-29967000</v>
      </c>
      <c r="AM16">
        <v>-12040000</v>
      </c>
    </row>
    <row r="17" spans="1:39" x14ac:dyDescent="0.25">
      <c r="A17" t="s">
        <v>136</v>
      </c>
      <c r="B17">
        <v>-1894009000</v>
      </c>
      <c r="C17">
        <v>-893461000</v>
      </c>
      <c r="D17">
        <v>-3871544364.6793694</v>
      </c>
      <c r="E17">
        <v>-1991962465.9681098</v>
      </c>
      <c r="F17">
        <v>-1394576000</v>
      </c>
      <c r="G17">
        <v>-438067000</v>
      </c>
      <c r="H17">
        <v>-4456833303.1048031</v>
      </c>
      <c r="I17">
        <v>-1743574550.6737502</v>
      </c>
      <c r="J17">
        <v>-1721766390.9687879</v>
      </c>
      <c r="K17">
        <v>-725200484.9070189</v>
      </c>
      <c r="L17">
        <v>-3399791992.314642</v>
      </c>
      <c r="M17">
        <v>-466917000</v>
      </c>
      <c r="N17">
        <v>-261619000</v>
      </c>
      <c r="O17">
        <v>-134310000</v>
      </c>
      <c r="P17">
        <v>-332748000</v>
      </c>
      <c r="Q17">
        <v>-308633000</v>
      </c>
      <c r="R17">
        <v>-191614000</v>
      </c>
      <c r="S17">
        <v>-43009000</v>
      </c>
      <c r="T17">
        <v>-282580000</v>
      </c>
      <c r="U17">
        <v>-180143000</v>
      </c>
      <c r="V17">
        <v>-138779000</v>
      </c>
      <c r="W17">
        <v>-56028000</v>
      </c>
      <c r="X17">
        <v>-211565000</v>
      </c>
      <c r="Y17">
        <v>-90986000</v>
      </c>
      <c r="Z17">
        <v>-49551000</v>
      </c>
      <c r="AA17">
        <v>-21758000</v>
      </c>
      <c r="AB17">
        <v>-114408000</v>
      </c>
      <c r="AC17">
        <v>-57127000</v>
      </c>
      <c r="AD17">
        <v>-34270000</v>
      </c>
      <c r="AE17">
        <v>-18841000</v>
      </c>
      <c r="AF17">
        <v>-97300000</v>
      </c>
      <c r="AG17">
        <v>-50491000</v>
      </c>
      <c r="AH17">
        <v>-26939000</v>
      </c>
      <c r="AI17">
        <v>-12624000</v>
      </c>
      <c r="AJ17">
        <v>-82603000</v>
      </c>
      <c r="AK17">
        <v>-54040000</v>
      </c>
      <c r="AL17">
        <v>-33482000</v>
      </c>
      <c r="AM17">
        <v>-11599000</v>
      </c>
    </row>
    <row r="18" spans="1:39" x14ac:dyDescent="0.25">
      <c r="A18" t="s">
        <v>137</v>
      </c>
      <c r="B18">
        <v>17963220000</v>
      </c>
      <c r="C18">
        <v>10843311000</v>
      </c>
      <c r="D18">
        <v>20393127118.120358</v>
      </c>
      <c r="E18">
        <v>15898003238.009472</v>
      </c>
      <c r="F18">
        <v>11502035000</v>
      </c>
      <c r="G18">
        <v>8473106000</v>
      </c>
      <c r="H18">
        <v>56460111046.007713</v>
      </c>
      <c r="I18">
        <v>37055814315.775726</v>
      </c>
      <c r="J18">
        <v>29163738600.873543</v>
      </c>
      <c r="K18">
        <v>8076256771.5507765</v>
      </c>
      <c r="L18">
        <v>40351396503.915283</v>
      </c>
      <c r="M18">
        <v>8895656000</v>
      </c>
      <c r="N18">
        <v>6404146000</v>
      </c>
      <c r="O18">
        <v>2722523000</v>
      </c>
      <c r="P18">
        <v>10754188000</v>
      </c>
      <c r="Q18">
        <v>3982852000</v>
      </c>
      <c r="R18">
        <v>2965561000</v>
      </c>
      <c r="S18">
        <v>1880443000</v>
      </c>
      <c r="T18">
        <v>7099337000</v>
      </c>
      <c r="U18">
        <v>5349286000</v>
      </c>
      <c r="V18">
        <v>2914793000</v>
      </c>
      <c r="W18">
        <v>1403387000</v>
      </c>
      <c r="X18">
        <v>3818370000</v>
      </c>
      <c r="Y18">
        <v>2506480000</v>
      </c>
      <c r="Z18">
        <v>1421980000</v>
      </c>
      <c r="AA18">
        <v>747180000</v>
      </c>
      <c r="AB18">
        <v>5654167000</v>
      </c>
      <c r="AC18">
        <v>4624328000</v>
      </c>
      <c r="AD18">
        <v>1530701000</v>
      </c>
      <c r="AE18">
        <v>508878000</v>
      </c>
      <c r="AF18">
        <v>1935905000</v>
      </c>
      <c r="AG18">
        <v>1035564000</v>
      </c>
      <c r="AH18">
        <v>644711000</v>
      </c>
      <c r="AI18">
        <v>410486000</v>
      </c>
      <c r="AJ18">
        <v>489676000</v>
      </c>
      <c r="AK18">
        <v>208624000</v>
      </c>
      <c r="AL18">
        <v>112630000</v>
      </c>
      <c r="AM18">
        <v>44329000</v>
      </c>
    </row>
    <row r="19" spans="1:39" x14ac:dyDescent="0.25">
      <c r="A19" t="s">
        <v>138</v>
      </c>
      <c r="B19">
        <v>-11726329000</v>
      </c>
      <c r="C19">
        <v>-7201739000</v>
      </c>
      <c r="D19">
        <v>-19948640278.966682</v>
      </c>
      <c r="E19">
        <v>-13150173023.399153</v>
      </c>
      <c r="F19">
        <v>-8757887000</v>
      </c>
      <c r="G19">
        <v>-5875683000</v>
      </c>
      <c r="H19">
        <v>-35658615837.384293</v>
      </c>
      <c r="I19">
        <v>-20763784002.493908</v>
      </c>
      <c r="J19">
        <v>-15848492006.165682</v>
      </c>
      <c r="K19">
        <v>-5936594465.4657249</v>
      </c>
      <c r="L19">
        <v>-29632629596.516041</v>
      </c>
      <c r="M19">
        <v>-5764945000</v>
      </c>
      <c r="N19">
        <v>-4072639000</v>
      </c>
      <c r="O19">
        <v>-1774014000</v>
      </c>
      <c r="P19">
        <v>-6405990000</v>
      </c>
      <c r="Q19">
        <v>-2839523000</v>
      </c>
      <c r="R19">
        <v>-1754004000</v>
      </c>
      <c r="S19">
        <v>-983502000</v>
      </c>
      <c r="T19">
        <v>-5464926000</v>
      </c>
      <c r="U19">
        <v>-3090350000</v>
      </c>
      <c r="V19">
        <v>-1793777000</v>
      </c>
      <c r="W19">
        <v>-743000000</v>
      </c>
      <c r="X19">
        <v>-3253702000</v>
      </c>
      <c r="Y19">
        <v>-2227351000</v>
      </c>
      <c r="Z19">
        <v>-1027626000</v>
      </c>
      <c r="AA19">
        <v>-450339000</v>
      </c>
      <c r="AB19">
        <v>-5153276000</v>
      </c>
      <c r="AC19">
        <v>-3588496000</v>
      </c>
      <c r="AD19">
        <v>-1117688000</v>
      </c>
      <c r="AE19">
        <v>-375395000</v>
      </c>
      <c r="AF19">
        <v>-1678420000</v>
      </c>
      <c r="AG19">
        <v>-902573000</v>
      </c>
      <c r="AH19">
        <v>-576147000</v>
      </c>
      <c r="AI19">
        <v>-307350000</v>
      </c>
      <c r="AJ19">
        <v>-285598000</v>
      </c>
      <c r="AK19">
        <v>-176523000</v>
      </c>
      <c r="AL19">
        <v>-127130000</v>
      </c>
      <c r="AM19">
        <v>-69533000</v>
      </c>
    </row>
    <row r="20" spans="1:39" x14ac:dyDescent="0.25">
      <c r="A20" t="s">
        <v>139</v>
      </c>
    </row>
    <row r="21" spans="1:39" x14ac:dyDescent="0.25">
      <c r="A21" t="s">
        <v>140</v>
      </c>
      <c r="B21">
        <v>17458086000</v>
      </c>
      <c r="C21">
        <v>7851386000</v>
      </c>
      <c r="D21">
        <v>31870224982.939411</v>
      </c>
      <c r="E21">
        <v>17814845501.132156</v>
      </c>
      <c r="F21">
        <v>12578308000</v>
      </c>
      <c r="G21">
        <v>6562173000</v>
      </c>
      <c r="H21">
        <v>42068868254.809937</v>
      </c>
      <c r="I21">
        <v>28242194487.106915</v>
      </c>
      <c r="J21">
        <v>21954777810.291077</v>
      </c>
      <c r="K21">
        <v>6089730189.247571</v>
      </c>
      <c r="L21">
        <v>30249354000.908905</v>
      </c>
      <c r="M21">
        <v>6822622000</v>
      </c>
      <c r="N21">
        <v>4768470000</v>
      </c>
      <c r="O21">
        <v>1854249000</v>
      </c>
      <c r="P21">
        <v>9418168000</v>
      </c>
      <c r="Q21">
        <v>3311424000</v>
      </c>
      <c r="R21">
        <v>2917828000</v>
      </c>
      <c r="S21">
        <v>1561211000</v>
      </c>
      <c r="T21">
        <v>5276389000</v>
      </c>
      <c r="U21">
        <v>3862691000</v>
      </c>
      <c r="V21">
        <v>2259313000</v>
      </c>
      <c r="W21">
        <v>1215232000</v>
      </c>
      <c r="X21">
        <v>3177262000</v>
      </c>
      <c r="Y21">
        <v>1670100000</v>
      </c>
      <c r="Z21">
        <v>1235643000</v>
      </c>
      <c r="AA21">
        <v>640511000</v>
      </c>
      <c r="AB21">
        <v>2225096000</v>
      </c>
      <c r="AC21">
        <v>1994219000</v>
      </c>
      <c r="AD21">
        <v>1033821000</v>
      </c>
      <c r="AE21">
        <v>376791000</v>
      </c>
      <c r="AF21">
        <v>1284107000</v>
      </c>
      <c r="AG21">
        <v>714719000</v>
      </c>
      <c r="AH21">
        <v>483592000</v>
      </c>
      <c r="AI21">
        <v>340601000</v>
      </c>
      <c r="AJ21">
        <v>810003000</v>
      </c>
      <c r="AK21">
        <v>364366000</v>
      </c>
      <c r="AL21">
        <v>205702000</v>
      </c>
      <c r="AM21">
        <v>93049000</v>
      </c>
    </row>
    <row r="23" spans="1:39" x14ac:dyDescent="0.25">
      <c r="A23" t="s">
        <v>141</v>
      </c>
    </row>
    <row r="24" spans="1:39" x14ac:dyDescent="0.25">
      <c r="A24" t="s">
        <v>142</v>
      </c>
    </row>
    <row r="25" spans="1:39" x14ac:dyDescent="0.25">
      <c r="A25" t="s">
        <v>143</v>
      </c>
      <c r="B25">
        <v>203299000</v>
      </c>
      <c r="C25">
        <v>36353000</v>
      </c>
      <c r="D25">
        <v>99290681.55556798</v>
      </c>
      <c r="E25">
        <v>86731807.830857918</v>
      </c>
      <c r="F25">
        <v>86454000</v>
      </c>
      <c r="G25">
        <v>22002000</v>
      </c>
      <c r="H25">
        <v>57799098.407554336</v>
      </c>
      <c r="I25">
        <v>48070680.756563336</v>
      </c>
      <c r="J25">
        <v>45674806.328660928</v>
      </c>
      <c r="K25">
        <v>-1493638.1478814639</v>
      </c>
      <c r="L25">
        <v>22284566.323182996</v>
      </c>
      <c r="M25">
        <v>6325000</v>
      </c>
      <c r="N25">
        <v>5570000</v>
      </c>
      <c r="O25">
        <v>306000</v>
      </c>
      <c r="P25">
        <v>10599000</v>
      </c>
      <c r="Q25">
        <v>10059000</v>
      </c>
      <c r="R25">
        <v>2150000</v>
      </c>
      <c r="S25">
        <v>2131000</v>
      </c>
      <c r="T25">
        <v>7936000</v>
      </c>
      <c r="U25">
        <v>5312000</v>
      </c>
      <c r="V25">
        <v>5312000</v>
      </c>
      <c r="W25">
        <v>31000</v>
      </c>
      <c r="X25">
        <v>6379000</v>
      </c>
      <c r="Y25">
        <v>2028000</v>
      </c>
      <c r="Z25">
        <v>1535000</v>
      </c>
      <c r="AA25">
        <v>38000</v>
      </c>
      <c r="AB25">
        <v>4789000</v>
      </c>
      <c r="AC25">
        <v>5215000</v>
      </c>
      <c r="AD25">
        <v>3489000</v>
      </c>
      <c r="AE25">
        <v>29000</v>
      </c>
      <c r="AF25">
        <v>9302000</v>
      </c>
      <c r="AG25">
        <v>9267000</v>
      </c>
      <c r="AH25">
        <v>9126000</v>
      </c>
      <c r="AI25">
        <v>8964000</v>
      </c>
      <c r="AJ25">
        <v>8737000</v>
      </c>
      <c r="AK25">
        <v>8415000</v>
      </c>
      <c r="AL25">
        <v>8344000</v>
      </c>
      <c r="AM25">
        <v>8223000</v>
      </c>
    </row>
    <row r="26" spans="1:39" x14ac:dyDescent="0.25">
      <c r="A26" t="s">
        <v>144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39" x14ac:dyDescent="0.25">
      <c r="A27" t="s">
        <v>145</v>
      </c>
    </row>
    <row r="28" spans="1:39" x14ac:dyDescent="0.25">
      <c r="A28" t="s">
        <v>146</v>
      </c>
      <c r="B28">
        <v>-207584000</v>
      </c>
      <c r="C28">
        <v>-106852000</v>
      </c>
      <c r="D28">
        <v>-67663879.227431044</v>
      </c>
      <c r="E28">
        <v>-30299283.612281092</v>
      </c>
      <c r="F28">
        <v>-27700000</v>
      </c>
      <c r="G28">
        <v>-39768000</v>
      </c>
      <c r="H28">
        <v>-2481654.5007543163</v>
      </c>
      <c r="I28">
        <v>-11077210.77841467</v>
      </c>
      <c r="J28">
        <v>-11010517.015983339</v>
      </c>
      <c r="K28">
        <v>-3847536.2416946562</v>
      </c>
      <c r="L28">
        <v>53727888.94685325</v>
      </c>
      <c r="M28">
        <v>-18688000</v>
      </c>
      <c r="N28">
        <v>-5509000</v>
      </c>
      <c r="O28">
        <v>-8390000</v>
      </c>
      <c r="P28">
        <v>-2820000</v>
      </c>
      <c r="Q28">
        <v>-20955000</v>
      </c>
      <c r="R28">
        <v>-7189000</v>
      </c>
      <c r="S28">
        <v>-5016000</v>
      </c>
      <c r="T28">
        <v>12408000</v>
      </c>
      <c r="U28">
        <v>-12320000</v>
      </c>
      <c r="V28">
        <v>-9507000</v>
      </c>
      <c r="W28">
        <v>-8439000</v>
      </c>
      <c r="X28">
        <v>2325000</v>
      </c>
      <c r="Y28">
        <v>6036000</v>
      </c>
      <c r="Z28">
        <v>4851000</v>
      </c>
      <c r="AA28">
        <v>-1138000</v>
      </c>
      <c r="AB28">
        <v>-8951000</v>
      </c>
      <c r="AC28">
        <v>-7524000</v>
      </c>
      <c r="AD28">
        <v>-5948000</v>
      </c>
      <c r="AE28">
        <v>-2001000</v>
      </c>
      <c r="AF28">
        <v>9302000</v>
      </c>
      <c r="AG28">
        <v>2230000</v>
      </c>
      <c r="AH28">
        <v>5722000</v>
      </c>
      <c r="AI28">
        <v>8120000</v>
      </c>
      <c r="AJ28">
        <v>213000</v>
      </c>
      <c r="AK28">
        <v>1407000</v>
      </c>
      <c r="AL28">
        <v>-227000</v>
      </c>
      <c r="AM28">
        <v>-3742000</v>
      </c>
    </row>
    <row r="29" spans="1:39" x14ac:dyDescent="0.25">
      <c r="A29" t="s">
        <v>147</v>
      </c>
    </row>
    <row r="30" spans="1:39" x14ac:dyDescent="0.25">
      <c r="A30" t="s">
        <v>148</v>
      </c>
    </row>
    <row r="31" spans="1:39" x14ac:dyDescent="0.25">
      <c r="A31" t="s">
        <v>149</v>
      </c>
    </row>
    <row r="32" spans="1:39" x14ac:dyDescent="0.25">
      <c r="A32" t="s">
        <v>150</v>
      </c>
    </row>
    <row r="33" spans="1:39" x14ac:dyDescent="0.25">
      <c r="A33" t="s">
        <v>151</v>
      </c>
      <c r="B33">
        <v>17453801000</v>
      </c>
      <c r="C33">
        <v>7780887000</v>
      </c>
      <c r="D33">
        <v>31901851785.267551</v>
      </c>
      <c r="E33">
        <v>17871278025.350731</v>
      </c>
      <c r="F33">
        <v>12637062000</v>
      </c>
      <c r="G33">
        <v>6544407000</v>
      </c>
      <c r="H33">
        <v>42124185698.716736</v>
      </c>
      <c r="I33">
        <v>28279187957.085068</v>
      </c>
      <c r="J33">
        <v>21989442099.60376</v>
      </c>
      <c r="K33">
        <v>6084389014.857996</v>
      </c>
      <c r="L33">
        <v>30325366456.17894</v>
      </c>
      <c r="M33">
        <v>6810259000</v>
      </c>
      <c r="N33">
        <v>4768531000</v>
      </c>
      <c r="O33">
        <v>1846165000</v>
      </c>
      <c r="P33">
        <v>9425947000</v>
      </c>
      <c r="Q33">
        <v>3300528000</v>
      </c>
      <c r="R33">
        <v>2912789000</v>
      </c>
      <c r="S33">
        <v>1558326000</v>
      </c>
      <c r="T33">
        <v>5296733000</v>
      </c>
      <c r="U33">
        <v>3855683000</v>
      </c>
      <c r="V33">
        <v>2255118000</v>
      </c>
      <c r="W33">
        <v>1206824000</v>
      </c>
      <c r="X33">
        <v>3185966000</v>
      </c>
      <c r="Y33">
        <v>1678164000</v>
      </c>
      <c r="Z33">
        <v>1242029000</v>
      </c>
      <c r="AA33">
        <v>639411000</v>
      </c>
      <c r="AB33">
        <v>2220934000</v>
      </c>
      <c r="AC33">
        <v>1991910000</v>
      </c>
      <c r="AD33">
        <v>1031362000</v>
      </c>
      <c r="AE33">
        <v>374819000</v>
      </c>
      <c r="AF33">
        <v>1302711000</v>
      </c>
      <c r="AG33">
        <v>726216000</v>
      </c>
      <c r="AH33">
        <v>498440000</v>
      </c>
      <c r="AI33">
        <v>357685000</v>
      </c>
      <c r="AJ33">
        <v>818953000</v>
      </c>
      <c r="AK33">
        <v>374188000</v>
      </c>
      <c r="AL33">
        <v>213819000</v>
      </c>
      <c r="AM33">
        <v>97530000</v>
      </c>
    </row>
    <row r="35" spans="1:39" x14ac:dyDescent="0.25">
      <c r="A35" t="s">
        <v>152</v>
      </c>
      <c r="B35">
        <v>1911851000</v>
      </c>
      <c r="C35">
        <v>895497000</v>
      </c>
      <c r="D35">
        <v>2063020271.1106145</v>
      </c>
      <c r="E35">
        <v>841404298.8963486</v>
      </c>
      <c r="F35">
        <v>612700000</v>
      </c>
      <c r="G35">
        <v>394206000</v>
      </c>
      <c r="H35">
        <v>1990593762.0420554</v>
      </c>
      <c r="I35">
        <v>1606495617.1580584</v>
      </c>
      <c r="J35">
        <v>972779786.08108521</v>
      </c>
      <c r="K35">
        <v>716549267.9311341</v>
      </c>
      <c r="L35">
        <v>2439689187.9658813</v>
      </c>
      <c r="M35">
        <v>590248000</v>
      </c>
      <c r="N35">
        <v>552554000</v>
      </c>
      <c r="O35">
        <v>199795000</v>
      </c>
      <c r="P35">
        <v>514051000</v>
      </c>
      <c r="Q35">
        <v>719261000</v>
      </c>
      <c r="R35">
        <v>434892000</v>
      </c>
      <c r="S35">
        <v>174690000</v>
      </c>
      <c r="T35">
        <v>1057589000</v>
      </c>
      <c r="U35">
        <v>576751000</v>
      </c>
      <c r="V35">
        <v>401021000</v>
      </c>
      <c r="W35">
        <v>164559000</v>
      </c>
      <c r="X35">
        <v>985207000</v>
      </c>
      <c r="Y35">
        <v>828416000</v>
      </c>
      <c r="Z35">
        <v>508527000</v>
      </c>
      <c r="AA35">
        <v>271289000</v>
      </c>
      <c r="AB35">
        <v>876479000</v>
      </c>
      <c r="AC35">
        <v>481267000</v>
      </c>
      <c r="AD35">
        <v>173830000</v>
      </c>
      <c r="AE35">
        <v>61527000</v>
      </c>
      <c r="AF35">
        <v>245542000</v>
      </c>
      <c r="AG35">
        <v>252122000</v>
      </c>
      <c r="AH35">
        <v>159567000</v>
      </c>
      <c r="AI35">
        <v>79204000</v>
      </c>
      <c r="AJ35">
        <v>66361000</v>
      </c>
      <c r="AK35">
        <v>60860000</v>
      </c>
      <c r="AL35">
        <v>46127000</v>
      </c>
      <c r="AM35">
        <v>27828000</v>
      </c>
    </row>
    <row r="36" spans="1:39" x14ac:dyDescent="0.25">
      <c r="A36" t="s">
        <v>153</v>
      </c>
      <c r="B36">
        <v>-7765129000</v>
      </c>
      <c r="C36">
        <v>-3492281000</v>
      </c>
      <c r="D36">
        <v>-8138770863.4035501</v>
      </c>
      <c r="E36">
        <v>-6983187001.0015211</v>
      </c>
      <c r="F36">
        <v>-4330479000</v>
      </c>
      <c r="G36">
        <v>-2669876000</v>
      </c>
      <c r="H36">
        <v>-14880239568.080311</v>
      </c>
      <c r="I36">
        <v>-10237701037.171043</v>
      </c>
      <c r="J36">
        <v>-9126600403.3691349</v>
      </c>
      <c r="K36">
        <v>-1686150008.6233289</v>
      </c>
      <c r="L36">
        <v>-9751680067.0707436</v>
      </c>
      <c r="M36">
        <v>-2066354000</v>
      </c>
      <c r="N36">
        <v>-1583426000</v>
      </c>
      <c r="O36">
        <v>-674937000</v>
      </c>
      <c r="P36">
        <v>-2743575000</v>
      </c>
      <c r="Q36">
        <v>-930837000</v>
      </c>
      <c r="R36">
        <v>-739161000</v>
      </c>
      <c r="S36">
        <v>-404451000</v>
      </c>
      <c r="T36">
        <v>-1469171000</v>
      </c>
      <c r="U36">
        <v>-1183746000</v>
      </c>
      <c r="V36">
        <v>-676806000</v>
      </c>
      <c r="W36">
        <v>-395287000</v>
      </c>
      <c r="X36">
        <v>-862642000</v>
      </c>
      <c r="Y36">
        <v>-650077000</v>
      </c>
      <c r="Z36">
        <v>-439946000</v>
      </c>
      <c r="AA36">
        <v>-255088000</v>
      </c>
      <c r="AB36">
        <v>-855647000</v>
      </c>
      <c r="AC36">
        <v>-698560000</v>
      </c>
      <c r="AD36">
        <v>-299216000</v>
      </c>
      <c r="AE36">
        <v>-121298000</v>
      </c>
      <c r="AF36">
        <v>-383291000</v>
      </c>
      <c r="AG36">
        <v>-362122000</v>
      </c>
      <c r="AH36">
        <v>-239705000</v>
      </c>
      <c r="AI36">
        <v>-130878000</v>
      </c>
      <c r="AJ36">
        <v>-151291000</v>
      </c>
      <c r="AK36">
        <v>-79051000</v>
      </c>
      <c r="AL36">
        <v>-48990000</v>
      </c>
      <c r="AM36">
        <v>-13837000</v>
      </c>
    </row>
    <row r="37" spans="1:39" x14ac:dyDescent="0.25">
      <c r="A37" t="s">
        <v>154</v>
      </c>
      <c r="B37">
        <v>-13985853000</v>
      </c>
      <c r="C37">
        <v>-7447916000</v>
      </c>
      <c r="D37">
        <v>-16182005612.33354</v>
      </c>
      <c r="E37">
        <v>-12971663040.167686</v>
      </c>
      <c r="F37">
        <v>-10229591000</v>
      </c>
      <c r="G37">
        <v>-5049457000</v>
      </c>
      <c r="H37">
        <v>-17089741625.397181</v>
      </c>
      <c r="I37">
        <v>-13491241756.745419</v>
      </c>
      <c r="J37">
        <v>-11690612599.894796</v>
      </c>
      <c r="K37">
        <v>-4166956026.5167365</v>
      </c>
      <c r="L37">
        <v>-24550040367.622536</v>
      </c>
    </row>
    <row r="38" spans="1:39" x14ac:dyDescent="0.25">
      <c r="A38" t="s">
        <v>155</v>
      </c>
      <c r="B38">
        <v>-2385330000</v>
      </c>
      <c r="C38">
        <v>-2263813000</v>
      </c>
      <c r="D38">
        <v>9644095580.6410751</v>
      </c>
      <c r="E38">
        <v>-1242167716.922127</v>
      </c>
      <c r="F38">
        <v>-1310308000</v>
      </c>
      <c r="G38">
        <v>-780720000</v>
      </c>
      <c r="H38">
        <v>12144798267.281294</v>
      </c>
      <c r="I38">
        <v>6156740780.3266621</v>
      </c>
      <c r="J38">
        <v>2145008882.4209132</v>
      </c>
      <c r="K38">
        <v>947832247.64906514</v>
      </c>
      <c r="L38">
        <v>-1536664790.5484624</v>
      </c>
      <c r="M38">
        <v>5334153000</v>
      </c>
      <c r="N38">
        <v>3737659000</v>
      </c>
      <c r="O38">
        <v>1371023000</v>
      </c>
      <c r="P38">
        <v>7196423000</v>
      </c>
      <c r="Q38">
        <v>3088952000</v>
      </c>
      <c r="R38">
        <v>2608520000</v>
      </c>
      <c r="S38">
        <v>1328565000</v>
      </c>
      <c r="T38">
        <v>4885151000</v>
      </c>
      <c r="U38">
        <v>3248688000</v>
      </c>
      <c r="V38">
        <v>1979333000</v>
      </c>
      <c r="W38">
        <v>976096000</v>
      </c>
      <c r="X38">
        <v>3308531000</v>
      </c>
      <c r="Y38">
        <v>1856503000</v>
      </c>
      <c r="Z38">
        <v>1310610000</v>
      </c>
      <c r="AA38">
        <v>655612000</v>
      </c>
      <c r="AB38">
        <v>2241766000</v>
      </c>
      <c r="AC38">
        <v>1774617000</v>
      </c>
      <c r="AD38">
        <v>905976000</v>
      </c>
      <c r="AE38">
        <v>315048000</v>
      </c>
      <c r="AF38">
        <v>1164962000</v>
      </c>
      <c r="AG38">
        <v>616216000</v>
      </c>
      <c r="AH38">
        <v>418302000</v>
      </c>
      <c r="AI38">
        <v>306011000</v>
      </c>
      <c r="AJ38">
        <v>734023000</v>
      </c>
      <c r="AK38">
        <v>355997000</v>
      </c>
      <c r="AL38">
        <v>210956000</v>
      </c>
      <c r="AM38">
        <v>111521000</v>
      </c>
    </row>
    <row r="40" spans="1:39" x14ac:dyDescent="0.25">
      <c r="A40" t="s">
        <v>156</v>
      </c>
      <c r="B40">
        <v>8795939000</v>
      </c>
      <c r="C40">
        <v>4525462000</v>
      </c>
      <c r="D40">
        <v>8116848998.610568</v>
      </c>
      <c r="E40">
        <v>8774149050.9746037</v>
      </c>
      <c r="F40">
        <v>6234173000</v>
      </c>
      <c r="G40">
        <v>2594491000</v>
      </c>
      <c r="H40">
        <v>277328098.99238235</v>
      </c>
      <c r="I40">
        <v>-754025266.52706087</v>
      </c>
      <c r="J40">
        <v>-28080667.27748578</v>
      </c>
      <c r="K40">
        <v>-2382878185.1471786</v>
      </c>
      <c r="L40">
        <v>3540084194.0754447</v>
      </c>
      <c r="M40">
        <v>401081000</v>
      </c>
      <c r="N40">
        <v>59152000</v>
      </c>
      <c r="O40">
        <v>305918000</v>
      </c>
      <c r="P40">
        <v>-69082000</v>
      </c>
      <c r="Q40">
        <v>46540000</v>
      </c>
      <c r="R40">
        <v>-74476000</v>
      </c>
      <c r="S40">
        <v>-99738000</v>
      </c>
      <c r="T40">
        <v>-423885000</v>
      </c>
      <c r="U40">
        <v>-250163000</v>
      </c>
      <c r="V40">
        <v>-131362000</v>
      </c>
      <c r="W40">
        <v>-55882000</v>
      </c>
      <c r="X40">
        <v>44142000</v>
      </c>
      <c r="Y40">
        <v>122431000</v>
      </c>
      <c r="Z40">
        <v>24714000</v>
      </c>
      <c r="AA40">
        <v>-26051000</v>
      </c>
      <c r="AB40">
        <v>77581000</v>
      </c>
      <c r="AC40">
        <v>-39083000</v>
      </c>
      <c r="AD40">
        <v>35830000</v>
      </c>
      <c r="AE40">
        <v>36294000</v>
      </c>
      <c r="AF40">
        <v>211018000</v>
      </c>
      <c r="AG40">
        <v>136110000</v>
      </c>
      <c r="AH40">
        <v>126326000</v>
      </c>
      <c r="AI40">
        <v>37687000</v>
      </c>
      <c r="AJ40">
        <v>61178000</v>
      </c>
      <c r="AK40">
        <v>33138000</v>
      </c>
      <c r="AL40">
        <v>25004000</v>
      </c>
      <c r="AM40">
        <v>258000</v>
      </c>
    </row>
    <row r="41" spans="1:39" x14ac:dyDescent="0.25">
      <c r="A41" t="s">
        <v>157</v>
      </c>
      <c r="B41">
        <v>-112242000</v>
      </c>
      <c r="C41">
        <v>-92968000</v>
      </c>
      <c r="D41">
        <v>-63087927.675029337</v>
      </c>
      <c r="E41">
        <v>-14759695.221205309</v>
      </c>
      <c r="F41">
        <v>-17752000</v>
      </c>
      <c r="G41">
        <v>-7117000</v>
      </c>
      <c r="H41">
        <v>-1902222593.6376674</v>
      </c>
      <c r="I41">
        <v>-2084785871.8014698</v>
      </c>
      <c r="J41">
        <v>-2585949500.3902059</v>
      </c>
      <c r="K41">
        <v>-731963.72165619663</v>
      </c>
      <c r="L41">
        <v>-4843006.1364540868</v>
      </c>
      <c r="M41">
        <v>-1730000</v>
      </c>
      <c r="N41">
        <v>-1131000</v>
      </c>
      <c r="O41">
        <v>-988000</v>
      </c>
      <c r="P41">
        <v>-2401000</v>
      </c>
      <c r="Q41">
        <v>-769000</v>
      </c>
      <c r="R41">
        <v>-204000</v>
      </c>
      <c r="S41">
        <v>-146000</v>
      </c>
      <c r="T41">
        <v>-4635000</v>
      </c>
      <c r="U41">
        <v>-5243000</v>
      </c>
      <c r="V41">
        <v>-3247000</v>
      </c>
      <c r="W41">
        <v>-1633000</v>
      </c>
      <c r="X41">
        <v>-14868000</v>
      </c>
      <c r="Y41">
        <v>-5087000</v>
      </c>
      <c r="Z41">
        <v>-2428000</v>
      </c>
      <c r="AA41">
        <v>-617000</v>
      </c>
      <c r="AB41">
        <v>-11022000</v>
      </c>
      <c r="AC41">
        <v>-8155000</v>
      </c>
      <c r="AD41">
        <v>-3059000</v>
      </c>
      <c r="AE41">
        <v>-2117000</v>
      </c>
      <c r="AF41">
        <v>-2036000</v>
      </c>
      <c r="AG41">
        <v>-1282000</v>
      </c>
      <c r="AH41">
        <v>-1096000</v>
      </c>
      <c r="AI41">
        <v>-1221000</v>
      </c>
      <c r="AJ41">
        <v>-1548000</v>
      </c>
      <c r="AK41">
        <v>-1110000</v>
      </c>
      <c r="AL41">
        <v>-537000</v>
      </c>
      <c r="AM41">
        <v>-161000</v>
      </c>
    </row>
    <row r="42" spans="1:39" x14ac:dyDescent="0.25">
      <c r="A42" t="s">
        <v>158</v>
      </c>
      <c r="B42">
        <v>8908181000</v>
      </c>
      <c r="C42">
        <v>4618430000</v>
      </c>
      <c r="D42">
        <v>8179936926.2855978</v>
      </c>
      <c r="E42">
        <v>8788908746.1958084</v>
      </c>
      <c r="F42">
        <v>6251925000</v>
      </c>
      <c r="G42">
        <v>2601608000</v>
      </c>
      <c r="H42">
        <v>2179550692.6300497</v>
      </c>
      <c r="I42">
        <v>1330760605.2744086</v>
      </c>
      <c r="J42">
        <v>2557868833.1127195</v>
      </c>
      <c r="K42">
        <v>-2382146221.4255223</v>
      </c>
      <c r="L42">
        <v>3544927200.2118983</v>
      </c>
      <c r="M42">
        <v>402811000</v>
      </c>
      <c r="N42">
        <v>60283000</v>
      </c>
      <c r="O42">
        <v>306906000</v>
      </c>
      <c r="P42">
        <v>-66681000</v>
      </c>
      <c r="Q42">
        <v>47309000</v>
      </c>
      <c r="R42">
        <v>-74272000</v>
      </c>
      <c r="S42">
        <v>-99592000</v>
      </c>
      <c r="T42">
        <v>-419250000</v>
      </c>
      <c r="U42">
        <v>-244920000</v>
      </c>
      <c r="V42">
        <v>-128115000</v>
      </c>
      <c r="W42">
        <v>-54249000</v>
      </c>
      <c r="X42">
        <v>59010000</v>
      </c>
      <c r="Y42">
        <v>127518000</v>
      </c>
      <c r="Z42">
        <v>27142000</v>
      </c>
      <c r="AA42">
        <v>-25434000</v>
      </c>
      <c r="AB42">
        <v>88603000</v>
      </c>
      <c r="AC42">
        <v>-30928000</v>
      </c>
      <c r="AD42">
        <v>38889000</v>
      </c>
      <c r="AE42">
        <v>38411000</v>
      </c>
      <c r="AF42">
        <v>213054000</v>
      </c>
      <c r="AG42">
        <v>137392000</v>
      </c>
      <c r="AH42">
        <v>127422000</v>
      </c>
      <c r="AI42">
        <v>38908000</v>
      </c>
      <c r="AJ42">
        <v>62726000</v>
      </c>
      <c r="AK42">
        <v>34248000</v>
      </c>
      <c r="AL42">
        <v>25541000</v>
      </c>
      <c r="AM42">
        <v>419000</v>
      </c>
    </row>
    <row r="43" spans="1:39" x14ac:dyDescent="0.25">
      <c r="A43" t="s">
        <v>159</v>
      </c>
      <c r="B43">
        <v>6410609000</v>
      </c>
      <c r="C43">
        <v>2261649000</v>
      </c>
      <c r="D43">
        <v>17760944579.251644</v>
      </c>
      <c r="E43">
        <v>7531981334.0524759</v>
      </c>
      <c r="F43">
        <v>4923865000</v>
      </c>
      <c r="G43">
        <v>1813771000</v>
      </c>
      <c r="H43">
        <v>12422126366.273678</v>
      </c>
      <c r="I43">
        <v>5402715513.7996016</v>
      </c>
      <c r="J43">
        <v>2116928215.1434278</v>
      </c>
      <c r="K43">
        <v>-1435045937.4981136</v>
      </c>
      <c r="L43">
        <v>2003419403.5269821</v>
      </c>
      <c r="M43">
        <v>5735234000</v>
      </c>
      <c r="N43">
        <v>3796811000</v>
      </c>
      <c r="O43">
        <v>1676941000</v>
      </c>
      <c r="P43">
        <v>7127341000</v>
      </c>
      <c r="Q43">
        <v>3135492000</v>
      </c>
      <c r="R43">
        <v>2534044000</v>
      </c>
      <c r="S43">
        <v>1228827000</v>
      </c>
      <c r="T43">
        <v>4461266000</v>
      </c>
      <c r="U43">
        <v>2998525000</v>
      </c>
      <c r="V43">
        <v>1847971000</v>
      </c>
      <c r="W43">
        <v>920214000</v>
      </c>
      <c r="X43">
        <v>3352673000</v>
      </c>
      <c r="Y43">
        <v>1978934000</v>
      </c>
      <c r="Z43">
        <v>1335324000</v>
      </c>
      <c r="AA43">
        <v>629561000</v>
      </c>
      <c r="AB43">
        <v>2319347000</v>
      </c>
      <c r="AC43">
        <v>1735534000</v>
      </c>
      <c r="AD43">
        <v>941806000</v>
      </c>
      <c r="AE43">
        <v>351342000</v>
      </c>
      <c r="AF43">
        <v>1375980000</v>
      </c>
      <c r="AG43">
        <v>752326000</v>
      </c>
      <c r="AH43">
        <v>544628000</v>
      </c>
      <c r="AI43">
        <v>343698000</v>
      </c>
      <c r="AJ43">
        <v>795201000</v>
      </c>
      <c r="AK43">
        <v>389135000</v>
      </c>
      <c r="AL43">
        <v>235960000</v>
      </c>
      <c r="AM43">
        <v>111779000</v>
      </c>
    </row>
    <row r="44" spans="1:39" x14ac:dyDescent="0.25">
      <c r="A44" t="s">
        <v>160</v>
      </c>
    </row>
    <row r="46" spans="1:39" x14ac:dyDescent="0.25">
      <c r="A46" t="s">
        <v>161</v>
      </c>
      <c r="B46">
        <v>6410609000</v>
      </c>
      <c r="C46">
        <v>2261649000</v>
      </c>
      <c r="D46">
        <v>17760944579.251644</v>
      </c>
      <c r="E46">
        <v>7531981334.0524759</v>
      </c>
      <c r="F46">
        <v>4923865000</v>
      </c>
      <c r="G46">
        <v>1813771000</v>
      </c>
      <c r="H46">
        <v>12422126366.273678</v>
      </c>
      <c r="I46">
        <v>5402715513.7996016</v>
      </c>
      <c r="J46">
        <v>2116928215.1434278</v>
      </c>
      <c r="K46">
        <v>-1435045937.4981136</v>
      </c>
      <c r="L46">
        <v>2003419403.5269821</v>
      </c>
      <c r="M46">
        <v>5735234000</v>
      </c>
      <c r="N46">
        <v>3796811000</v>
      </c>
      <c r="O46">
        <v>1676941000</v>
      </c>
      <c r="P46">
        <v>7127341000</v>
      </c>
      <c r="Q46">
        <v>3135492000</v>
      </c>
      <c r="R46">
        <v>2534044000</v>
      </c>
      <c r="S46">
        <v>1228827000</v>
      </c>
      <c r="T46">
        <v>4461266000</v>
      </c>
      <c r="U46">
        <v>2998525000</v>
      </c>
      <c r="V46">
        <v>1847971000</v>
      </c>
      <c r="W46">
        <v>920214000</v>
      </c>
      <c r="X46">
        <v>3352673000</v>
      </c>
      <c r="Y46">
        <v>1978934000</v>
      </c>
      <c r="Z46">
        <v>1335324000</v>
      </c>
      <c r="AA46">
        <v>629561000</v>
      </c>
      <c r="AB46">
        <v>2319347000</v>
      </c>
      <c r="AC46">
        <v>1735534000</v>
      </c>
      <c r="AD46">
        <v>941806000</v>
      </c>
      <c r="AE46">
        <v>351342000</v>
      </c>
      <c r="AF46">
        <v>1375980000</v>
      </c>
      <c r="AG46">
        <v>752326000</v>
      </c>
      <c r="AH46">
        <v>544628000</v>
      </c>
      <c r="AI46">
        <v>343698000</v>
      </c>
      <c r="AJ46">
        <v>795201000</v>
      </c>
      <c r="AK46">
        <v>389135000</v>
      </c>
      <c r="AL46">
        <v>235960000</v>
      </c>
      <c r="AM46">
        <v>111779000</v>
      </c>
    </row>
    <row r="47" spans="1:39" x14ac:dyDescent="0.25">
      <c r="A47" t="s">
        <v>117</v>
      </c>
      <c r="B47">
        <v>5865000</v>
      </c>
      <c r="C47">
        <v>-149815000</v>
      </c>
      <c r="D47">
        <v>-88700188.888268054</v>
      </c>
      <c r="E47">
        <v>-83093959.563131407</v>
      </c>
      <c r="F47">
        <v>-206487000</v>
      </c>
      <c r="G47">
        <v>-241332000</v>
      </c>
      <c r="H47">
        <v>141147454.10590228</v>
      </c>
      <c r="I47">
        <v>91054077.449567735</v>
      </c>
      <c r="J47">
        <v>-17097159.992928874</v>
      </c>
      <c r="K47">
        <v>-24357375.8003527</v>
      </c>
      <c r="L47">
        <v>-156077874.97983196</v>
      </c>
      <c r="M47">
        <v>-56732000</v>
      </c>
      <c r="N47">
        <v>-38796000</v>
      </c>
      <c r="O47">
        <v>-18649000</v>
      </c>
      <c r="P47">
        <v>-3222000</v>
      </c>
      <c r="Q47">
        <v>-5482000</v>
      </c>
      <c r="R47">
        <v>-4435000</v>
      </c>
      <c r="S47">
        <v>-5024000</v>
      </c>
      <c r="T47">
        <v>12160000</v>
      </c>
      <c r="U47">
        <v>10087000</v>
      </c>
      <c r="V47">
        <v>6344000</v>
      </c>
      <c r="W47">
        <v>77000</v>
      </c>
      <c r="X47">
        <v>12226000</v>
      </c>
      <c r="Y47">
        <v>3929000</v>
      </c>
      <c r="Z47">
        <v>2376000</v>
      </c>
      <c r="AA47">
        <v>265000</v>
      </c>
      <c r="AB47">
        <v>1150000</v>
      </c>
      <c r="AC47">
        <v>31000</v>
      </c>
      <c r="AD47">
        <v>9000</v>
      </c>
      <c r="AE47">
        <v>-19000</v>
      </c>
      <c r="AF47">
        <v>79000</v>
      </c>
      <c r="AG47">
        <v>64000</v>
      </c>
      <c r="AH47">
        <v>48000</v>
      </c>
      <c r="AI47">
        <v>-5000</v>
      </c>
      <c r="AJ47">
        <v>10000</v>
      </c>
      <c r="AK47">
        <v>-123000</v>
      </c>
      <c r="AL47">
        <v>-54000</v>
      </c>
      <c r="AM47">
        <v>-134000</v>
      </c>
    </row>
    <row r="48" spans="1:39" x14ac:dyDescent="0.25">
      <c r="A48" t="s">
        <v>162</v>
      </c>
      <c r="B48">
        <v>6404744000</v>
      </c>
      <c r="C48">
        <v>2411464000</v>
      </c>
      <c r="D48">
        <v>17849644768.139912</v>
      </c>
      <c r="E48">
        <v>7615075293.6156073</v>
      </c>
      <c r="F48">
        <v>5130352000</v>
      </c>
      <c r="G48">
        <v>2055103000</v>
      </c>
      <c r="H48">
        <v>12280978912.167776</v>
      </c>
      <c r="I48">
        <v>5311661436.3500338</v>
      </c>
      <c r="J48">
        <v>2134025375.1363566</v>
      </c>
      <c r="K48">
        <v>-1410688561.6977608</v>
      </c>
      <c r="L48">
        <v>2159497278.506814</v>
      </c>
      <c r="M48">
        <v>5791966000</v>
      </c>
      <c r="N48">
        <v>3835607000</v>
      </c>
      <c r="O48">
        <v>1695590000</v>
      </c>
      <c r="P48">
        <v>7130563000</v>
      </c>
      <c r="Q48">
        <v>3140974000</v>
      </c>
      <c r="R48">
        <v>2538479000</v>
      </c>
      <c r="S48">
        <v>1233851000</v>
      </c>
      <c r="T48">
        <v>4449106000</v>
      </c>
      <c r="U48">
        <v>2988438000</v>
      </c>
      <c r="V48">
        <v>1841627000</v>
      </c>
      <c r="W48">
        <v>920137000</v>
      </c>
      <c r="X48">
        <v>3340447000</v>
      </c>
      <c r="Y48">
        <v>1975005000</v>
      </c>
      <c r="Z48">
        <v>1332948000</v>
      </c>
      <c r="AA48">
        <v>629296000</v>
      </c>
      <c r="AB48">
        <v>2318197000</v>
      </c>
      <c r="AC48">
        <v>1735503000</v>
      </c>
      <c r="AD48">
        <v>941797000</v>
      </c>
      <c r="AE48">
        <v>351361000</v>
      </c>
      <c r="AF48">
        <v>1375901000</v>
      </c>
      <c r="AG48">
        <v>752262000</v>
      </c>
      <c r="AH48">
        <v>544580000</v>
      </c>
      <c r="AI48">
        <v>343703000</v>
      </c>
      <c r="AJ48">
        <v>795191000</v>
      </c>
      <c r="AK48">
        <v>389258000</v>
      </c>
      <c r="AL48">
        <v>236014000</v>
      </c>
      <c r="AM48">
        <v>111913000</v>
      </c>
    </row>
    <row r="50" spans="1:39" x14ac:dyDescent="0.25">
      <c r="A50" t="s">
        <v>163</v>
      </c>
      <c r="B50">
        <v>2245875000</v>
      </c>
      <c r="C50">
        <v>1241510439.8566346</v>
      </c>
      <c r="D50">
        <v>3849696004.4625726</v>
      </c>
      <c r="E50">
        <v>2782118236.4220796</v>
      </c>
      <c r="F50">
        <v>1908231000</v>
      </c>
      <c r="G50">
        <v>1009861371.7953491</v>
      </c>
      <c r="H50">
        <v>5731026964.1131659</v>
      </c>
      <c r="I50">
        <v>3813704878.329164</v>
      </c>
      <c r="J50">
        <v>2148142011.2663794</v>
      </c>
      <c r="K50">
        <v>887048252.46439552</v>
      </c>
      <c r="L50">
        <v>4120060710.1668296</v>
      </c>
      <c r="M50">
        <v>414921000</v>
      </c>
      <c r="N50">
        <v>268323000</v>
      </c>
      <c r="O50">
        <v>130834000</v>
      </c>
      <c r="P50">
        <v>432191000</v>
      </c>
      <c r="Q50">
        <v>305115000</v>
      </c>
      <c r="R50">
        <v>195051000</v>
      </c>
      <c r="S50">
        <v>96752000</v>
      </c>
      <c r="T50">
        <v>285498000</v>
      </c>
      <c r="U50">
        <v>212475000</v>
      </c>
      <c r="V50">
        <v>135969000</v>
      </c>
      <c r="W50">
        <v>65891000</v>
      </c>
      <c r="X50">
        <v>241216000</v>
      </c>
      <c r="Y50">
        <v>166592000</v>
      </c>
      <c r="Z50">
        <v>105909000</v>
      </c>
      <c r="AA50">
        <v>51125000</v>
      </c>
      <c r="AB50">
        <v>171391000</v>
      </c>
      <c r="AC50">
        <v>124477000</v>
      </c>
      <c r="AD50">
        <v>81759000</v>
      </c>
      <c r="AE50">
        <v>40052000</v>
      </c>
      <c r="AF50">
        <v>132625000</v>
      </c>
      <c r="AG50">
        <v>95573000</v>
      </c>
      <c r="AH50">
        <v>61747000</v>
      </c>
      <c r="AI50">
        <v>29954000</v>
      </c>
      <c r="AJ50">
        <v>110160000</v>
      </c>
      <c r="AK50">
        <v>81781000</v>
      </c>
      <c r="AL50">
        <v>54498000</v>
      </c>
      <c r="AM50">
        <v>26311000</v>
      </c>
    </row>
  </sheetData>
  <pageMargins left="0.7" right="0.7" top="0.75" bottom="0.75" header="0.3" footer="0.3"/>
  <ignoredErrors>
    <ignoredError sqref="A1:AM5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50"/>
  <sheetViews>
    <sheetView workbookViewId="0"/>
  </sheetViews>
  <sheetFormatPr defaultRowHeight="15.75" x14ac:dyDescent="0.25"/>
  <cols>
    <col min="1" max="1" width="40" customWidth="1"/>
    <col min="2" max="39" width="20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121</v>
      </c>
    </row>
    <row r="2" spans="1:39" x14ac:dyDescent="0.25">
      <c r="A2" t="s">
        <v>122</v>
      </c>
    </row>
    <row r="3" spans="1:39" x14ac:dyDescent="0.25">
      <c r="A3" t="s">
        <v>123</v>
      </c>
      <c r="B3">
        <v>29550382000</v>
      </c>
      <c r="C3">
        <v>24159815000</v>
      </c>
      <c r="D3">
        <v>64967235589.223923</v>
      </c>
      <c r="E3">
        <v>27043614556.025742</v>
      </c>
      <c r="F3">
        <v>26074239000</v>
      </c>
      <c r="G3">
        <v>22163502000</v>
      </c>
      <c r="H3">
        <v>58175759553.214874</v>
      </c>
      <c r="I3">
        <v>21234144856.27153</v>
      </c>
      <c r="J3">
        <v>23475703889.832668</v>
      </c>
      <c r="K3">
        <v>21083176478.133396</v>
      </c>
      <c r="M3">
        <v>6887190000</v>
      </c>
      <c r="N3">
        <v>6475951000</v>
      </c>
      <c r="O3">
        <v>4365256000</v>
      </c>
      <c r="P3">
        <v>9846605000</v>
      </c>
      <c r="Q3">
        <v>3317671000</v>
      </c>
      <c r="R3">
        <v>3801542000</v>
      </c>
      <c r="S3">
        <v>3173135000</v>
      </c>
      <c r="T3">
        <v>7681787000</v>
      </c>
      <c r="U3">
        <v>3192009000</v>
      </c>
      <c r="V3">
        <v>2635392000</v>
      </c>
      <c r="W3">
        <v>2595267000</v>
      </c>
      <c r="X3">
        <v>5364878000</v>
      </c>
      <c r="Y3">
        <v>3023258000</v>
      </c>
      <c r="Z3">
        <v>2626316000</v>
      </c>
      <c r="AA3">
        <v>1998099000</v>
      </c>
      <c r="AB3">
        <v>3794576000</v>
      </c>
      <c r="AC3">
        <v>1934164000</v>
      </c>
      <c r="AD3">
        <v>1914577000</v>
      </c>
      <c r="AE3">
        <v>1365199000</v>
      </c>
      <c r="AF3">
        <v>1961079000</v>
      </c>
      <c r="AG3">
        <v>1239435000</v>
      </c>
      <c r="AH3">
        <v>1137670000</v>
      </c>
      <c r="AI3">
        <v>1074069000</v>
      </c>
      <c r="AJ3">
        <v>1618362000</v>
      </c>
      <c r="AK3">
        <v>734934000</v>
      </c>
      <c r="AL3">
        <v>780977000</v>
      </c>
      <c r="AM3">
        <v>633843000</v>
      </c>
    </row>
    <row r="4" spans="1:39" x14ac:dyDescent="0.25">
      <c r="A4" t="s">
        <v>124</v>
      </c>
    </row>
    <row r="5" spans="1:39" x14ac:dyDescent="0.25">
      <c r="A5" t="s">
        <v>125</v>
      </c>
      <c r="B5">
        <v>27698670000</v>
      </c>
      <c r="C5">
        <v>19969614000</v>
      </c>
      <c r="D5">
        <v>55941730437.06498</v>
      </c>
      <c r="E5">
        <v>23647769155.35833</v>
      </c>
      <c r="F5">
        <v>24644891000</v>
      </c>
      <c r="G5">
        <v>17062385000</v>
      </c>
      <c r="H5">
        <v>53885162930.594322</v>
      </c>
      <c r="I5">
        <v>59272367889.781731</v>
      </c>
      <c r="J5">
        <v>-17894781154.823704</v>
      </c>
      <c r="K5">
        <v>17934250991.243011</v>
      </c>
      <c r="M5">
        <v>5279722000</v>
      </c>
      <c r="N5">
        <v>5526236000</v>
      </c>
      <c r="O5">
        <v>3717369000</v>
      </c>
      <c r="P5">
        <v>8789168000</v>
      </c>
    </row>
    <row r="6" spans="1:39" x14ac:dyDescent="0.25">
      <c r="A6" t="s">
        <v>126</v>
      </c>
      <c r="B6">
        <v>3220754000</v>
      </c>
      <c r="C6">
        <v>2821159000</v>
      </c>
      <c r="D6">
        <v>10078992572.624193</v>
      </c>
      <c r="E6">
        <v>3395845400.6674175</v>
      </c>
      <c r="F6">
        <v>2685239000</v>
      </c>
      <c r="G6">
        <v>3845226000</v>
      </c>
      <c r="H6">
        <v>4421320427.7796993</v>
      </c>
      <c r="I6">
        <v>6476098454.0878897</v>
      </c>
      <c r="J6">
        <v>-3755066665.1217918</v>
      </c>
      <c r="K6">
        <v>3760155709.0704484</v>
      </c>
      <c r="M6">
        <v>1607468000</v>
      </c>
      <c r="N6">
        <v>949715000</v>
      </c>
      <c r="O6">
        <v>647887000</v>
      </c>
      <c r="P6">
        <v>1170993000</v>
      </c>
    </row>
    <row r="7" spans="1:39" x14ac:dyDescent="0.25">
      <c r="A7" t="s">
        <v>127</v>
      </c>
      <c r="B7">
        <v>-19593547000</v>
      </c>
      <c r="C7">
        <v>-16928682000</v>
      </c>
      <c r="D7">
        <v>-43720836955.514511</v>
      </c>
      <c r="E7">
        <v>-19178092959.93129</v>
      </c>
      <c r="F7">
        <v>-17078747000</v>
      </c>
      <c r="G7">
        <v>-15750253000</v>
      </c>
      <c r="H7">
        <v>-42720108085.667656</v>
      </c>
      <c r="I7">
        <v>-16572057390.039185</v>
      </c>
      <c r="J7">
        <v>-15962883620.702892</v>
      </c>
      <c r="K7">
        <v>-14846079843.73666</v>
      </c>
      <c r="M7">
        <v>-4864211000</v>
      </c>
      <c r="N7">
        <v>-4369473000</v>
      </c>
      <c r="O7">
        <v>-3052485000</v>
      </c>
      <c r="P7">
        <v>-6598435000</v>
      </c>
      <c r="Q7">
        <v>-2492553000</v>
      </c>
      <c r="R7">
        <v>-2157648000</v>
      </c>
      <c r="S7">
        <v>-2241406000</v>
      </c>
      <c r="T7">
        <v>-5316704000</v>
      </c>
      <c r="U7">
        <v>-2506680000</v>
      </c>
      <c r="V7">
        <v>-1832851000</v>
      </c>
      <c r="W7">
        <v>-1843205000</v>
      </c>
      <c r="X7">
        <v>-3843278000</v>
      </c>
      <c r="Y7">
        <v>-2298860000</v>
      </c>
      <c r="Z7">
        <v>-1966440000</v>
      </c>
      <c r="AA7">
        <v>-1532240000</v>
      </c>
      <c r="AB7">
        <v>-2856705000</v>
      </c>
      <c r="AC7">
        <v>-1481063000</v>
      </c>
      <c r="AD7">
        <v>-1426342000</v>
      </c>
      <c r="AE7">
        <v>-1033314000</v>
      </c>
      <c r="AF7">
        <v>-1337718000</v>
      </c>
      <c r="AG7">
        <v>-975062000</v>
      </c>
      <c r="AH7">
        <v>-872421000</v>
      </c>
      <c r="AI7">
        <v>-761077000</v>
      </c>
      <c r="AJ7">
        <v>-1236910000</v>
      </c>
      <c r="AK7">
        <v>-556758000</v>
      </c>
      <c r="AL7">
        <v>-598397000</v>
      </c>
      <c r="AM7">
        <v>-453033000</v>
      </c>
    </row>
    <row r="8" spans="1:39" x14ac:dyDescent="0.25">
      <c r="A8" t="s">
        <v>128</v>
      </c>
      <c r="B8">
        <v>9956835000</v>
      </c>
      <c r="C8">
        <v>7231133000</v>
      </c>
      <c r="D8">
        <v>21246398633.709408</v>
      </c>
      <c r="E8">
        <v>7865521596.094471</v>
      </c>
      <c r="F8">
        <v>8995492000</v>
      </c>
      <c r="G8">
        <v>6413249000</v>
      </c>
      <c r="H8">
        <v>15455651467.547222</v>
      </c>
      <c r="I8">
        <v>4662087466.232336</v>
      </c>
      <c r="J8">
        <v>7512820269.129777</v>
      </c>
      <c r="K8">
        <v>6237096634.3967333</v>
      </c>
      <c r="M8">
        <v>2022979000</v>
      </c>
      <c r="N8">
        <v>2106478000</v>
      </c>
      <c r="O8">
        <v>1312771000</v>
      </c>
      <c r="P8">
        <v>3248170000</v>
      </c>
      <c r="Q8">
        <v>825118000</v>
      </c>
      <c r="R8">
        <v>1643894000</v>
      </c>
      <c r="S8">
        <v>931729000</v>
      </c>
      <c r="T8">
        <v>2365083000</v>
      </c>
      <c r="U8">
        <v>685329000</v>
      </c>
      <c r="V8">
        <v>802541000</v>
      </c>
      <c r="W8">
        <v>752062000</v>
      </c>
      <c r="X8">
        <v>1521600000</v>
      </c>
      <c r="Y8">
        <v>724398000</v>
      </c>
      <c r="Z8">
        <v>659876000</v>
      </c>
      <c r="AA8">
        <v>465859000</v>
      </c>
      <c r="AB8">
        <v>937871000</v>
      </c>
      <c r="AC8">
        <v>453101000</v>
      </c>
      <c r="AD8">
        <v>488235000</v>
      </c>
      <c r="AE8">
        <v>331885000</v>
      </c>
      <c r="AF8">
        <v>623361000</v>
      </c>
      <c r="AG8">
        <v>264373000</v>
      </c>
      <c r="AH8">
        <v>265249000</v>
      </c>
      <c r="AI8">
        <v>312992000</v>
      </c>
      <c r="AJ8">
        <v>381452000</v>
      </c>
      <c r="AK8">
        <v>178176000</v>
      </c>
      <c r="AL8">
        <v>182580000</v>
      </c>
      <c r="AM8">
        <v>180810000</v>
      </c>
    </row>
    <row r="9" spans="1:39" x14ac:dyDescent="0.25">
      <c r="A9" t="s">
        <v>129</v>
      </c>
    </row>
    <row r="10" spans="1:39" x14ac:dyDescent="0.25">
      <c r="A10" t="s">
        <v>130</v>
      </c>
    </row>
    <row r="11" spans="1:39" x14ac:dyDescent="0.25">
      <c r="A11" t="s">
        <v>131</v>
      </c>
    </row>
    <row r="12" spans="1:39" x14ac:dyDescent="0.25">
      <c r="A12" t="s">
        <v>132</v>
      </c>
    </row>
    <row r="13" spans="1:39" x14ac:dyDescent="0.25">
      <c r="A13" t="s">
        <v>133</v>
      </c>
      <c r="B13">
        <v>9956835000</v>
      </c>
      <c r="C13">
        <v>7231133000</v>
      </c>
      <c r="D13">
        <v>21246398633.709408</v>
      </c>
      <c r="E13">
        <v>7865521596.094471</v>
      </c>
      <c r="F13">
        <v>8995492000</v>
      </c>
      <c r="G13">
        <v>6413249000</v>
      </c>
      <c r="H13">
        <v>15455651467.547222</v>
      </c>
      <c r="I13">
        <v>4662087466.232336</v>
      </c>
      <c r="J13">
        <v>7512820269.129777</v>
      </c>
      <c r="K13">
        <v>6237096634.3967333</v>
      </c>
      <c r="M13">
        <v>2022979000</v>
      </c>
      <c r="N13">
        <v>2106478000</v>
      </c>
      <c r="O13">
        <v>1312771000</v>
      </c>
      <c r="P13">
        <v>3248170000</v>
      </c>
      <c r="Q13">
        <v>825118000</v>
      </c>
      <c r="R13">
        <v>1643894000</v>
      </c>
      <c r="S13">
        <v>931729000</v>
      </c>
      <c r="T13">
        <v>2365083000</v>
      </c>
      <c r="U13">
        <v>685329000</v>
      </c>
      <c r="V13">
        <v>802541000</v>
      </c>
      <c r="W13">
        <v>752062000</v>
      </c>
      <c r="X13">
        <v>1521600000</v>
      </c>
      <c r="Y13">
        <v>724398000</v>
      </c>
      <c r="Z13">
        <v>659876000</v>
      </c>
      <c r="AA13">
        <v>465859000</v>
      </c>
      <c r="AB13">
        <v>937871000</v>
      </c>
      <c r="AC13">
        <v>453101000</v>
      </c>
      <c r="AD13">
        <v>488235000</v>
      </c>
      <c r="AE13">
        <v>331885000</v>
      </c>
      <c r="AF13">
        <v>623361000</v>
      </c>
      <c r="AG13">
        <v>264373000</v>
      </c>
      <c r="AH13">
        <v>265249000</v>
      </c>
      <c r="AI13">
        <v>312992000</v>
      </c>
      <c r="AJ13">
        <v>381452000</v>
      </c>
      <c r="AK13">
        <v>178176000</v>
      </c>
      <c r="AL13">
        <v>182580000</v>
      </c>
      <c r="AM13">
        <v>180810000</v>
      </c>
    </row>
    <row r="15" spans="1:39" x14ac:dyDescent="0.25">
      <c r="A15" t="s">
        <v>134</v>
      </c>
      <c r="B15">
        <v>-1203905000</v>
      </c>
      <c r="C15">
        <v>-1502145000</v>
      </c>
      <c r="D15">
        <v>-1773858537.6629391</v>
      </c>
      <c r="E15">
        <v>-1404980507.5885935</v>
      </c>
      <c r="F15">
        <v>-1461447000</v>
      </c>
      <c r="G15">
        <v>-1515021000</v>
      </c>
      <c r="H15">
        <v>-2420290208.6383247</v>
      </c>
      <c r="I15">
        <v>-780189682.33876038</v>
      </c>
      <c r="J15">
        <v>-1343233107.9468284</v>
      </c>
      <c r="K15">
        <v>-1163045787.6548429</v>
      </c>
      <c r="M15">
        <v>-350493000</v>
      </c>
      <c r="N15">
        <v>-247930000</v>
      </c>
      <c r="O15">
        <v>-185956000</v>
      </c>
      <c r="P15">
        <v>-167077000</v>
      </c>
      <c r="Q15">
        <v>-147369000</v>
      </c>
      <c r="R15">
        <v>-150861000</v>
      </c>
      <c r="S15">
        <v>-110750000</v>
      </c>
      <c r="T15">
        <v>-113899000</v>
      </c>
      <c r="U15">
        <v>-102594000</v>
      </c>
      <c r="V15">
        <v>-87313000</v>
      </c>
      <c r="W15">
        <v>-95784000</v>
      </c>
      <c r="X15">
        <v>-104583000</v>
      </c>
      <c r="Y15">
        <v>-84933000</v>
      </c>
      <c r="Z15">
        <v>-82778000</v>
      </c>
      <c r="AA15">
        <v>-71162000</v>
      </c>
      <c r="AB15">
        <v>-62796000</v>
      </c>
      <c r="AC15">
        <v>-58463000</v>
      </c>
      <c r="AD15">
        <v>-56121000</v>
      </c>
      <c r="AE15">
        <v>-44339000</v>
      </c>
      <c r="AF15">
        <v>-49936000</v>
      </c>
      <c r="AG15">
        <v>-45162000</v>
      </c>
      <c r="AH15">
        <v>-42551000</v>
      </c>
      <c r="AI15">
        <v>-39973000</v>
      </c>
      <c r="AJ15">
        <v>-45312000</v>
      </c>
      <c r="AK15">
        <v>-25681000</v>
      </c>
      <c r="AL15">
        <v>-40821000</v>
      </c>
      <c r="AM15">
        <v>-38918000</v>
      </c>
    </row>
    <row r="16" spans="1:39" x14ac:dyDescent="0.25">
      <c r="A16" t="s">
        <v>135</v>
      </c>
      <c r="B16">
        <v>-741001000</v>
      </c>
      <c r="C16">
        <v>-625713000</v>
      </c>
      <c r="D16">
        <v>-1234235340.0713108</v>
      </c>
      <c r="E16">
        <v>-630299336.01592946</v>
      </c>
      <c r="F16">
        <v>-708126000</v>
      </c>
      <c r="G16">
        <v>-495411000</v>
      </c>
      <c r="H16">
        <v>-1004893634.1164265</v>
      </c>
      <c r="I16">
        <v>-549456665.94673419</v>
      </c>
      <c r="J16">
        <v>-483557922.70048171</v>
      </c>
      <c r="K16">
        <v>-398782478.67235225</v>
      </c>
      <c r="M16">
        <v>-212240000</v>
      </c>
      <c r="N16">
        <v>-200016000</v>
      </c>
      <c r="O16">
        <v>-86765000</v>
      </c>
      <c r="P16">
        <v>-155103000</v>
      </c>
      <c r="Q16">
        <v>-98906000</v>
      </c>
      <c r="R16">
        <v>-302427000</v>
      </c>
      <c r="S16">
        <v>-113700000</v>
      </c>
      <c r="T16">
        <v>-110524000</v>
      </c>
      <c r="U16">
        <v>-75913000</v>
      </c>
      <c r="V16">
        <v>-49025000</v>
      </c>
      <c r="W16">
        <v>-45405000</v>
      </c>
      <c r="X16">
        <v>-74815000</v>
      </c>
      <c r="Y16">
        <v>-48348000</v>
      </c>
      <c r="Z16">
        <v>-51686000</v>
      </c>
      <c r="AA16">
        <v>-29269000</v>
      </c>
      <c r="AB16">
        <v>-51976000</v>
      </c>
      <c r="AC16">
        <v>-34202000</v>
      </c>
      <c r="AD16">
        <v>-39185000</v>
      </c>
      <c r="AE16">
        <v>-25397000</v>
      </c>
      <c r="AF16">
        <v>-81722000</v>
      </c>
      <c r="AG16">
        <v>-28959000</v>
      </c>
      <c r="AH16">
        <v>-30820000</v>
      </c>
      <c r="AI16">
        <v>-22930000</v>
      </c>
      <c r="AJ16">
        <v>-33917000</v>
      </c>
      <c r="AK16">
        <v>-19874000</v>
      </c>
      <c r="AL16">
        <v>-17927000</v>
      </c>
      <c r="AM16">
        <v>-12040000</v>
      </c>
    </row>
    <row r="17" spans="1:39" x14ac:dyDescent="0.25">
      <c r="A17" t="s">
        <v>136</v>
      </c>
      <c r="B17">
        <v>-1000548000</v>
      </c>
      <c r="C17">
        <v>-893461000</v>
      </c>
      <c r="D17">
        <v>-1879581898.7112596</v>
      </c>
      <c r="E17">
        <v>-597386465.96810985</v>
      </c>
      <c r="F17">
        <v>-956509000</v>
      </c>
      <c r="G17">
        <v>-438067000</v>
      </c>
      <c r="H17">
        <v>-2713258752.4310532</v>
      </c>
      <c r="I17">
        <v>-21808159.704962254</v>
      </c>
      <c r="J17">
        <v>-996565906.06176901</v>
      </c>
      <c r="K17">
        <v>-725200484.9070189</v>
      </c>
      <c r="M17">
        <v>-205298000</v>
      </c>
      <c r="N17">
        <v>-127309000</v>
      </c>
      <c r="O17">
        <v>-134310000</v>
      </c>
      <c r="P17">
        <v>-24115000</v>
      </c>
      <c r="Q17">
        <v>-117019000</v>
      </c>
      <c r="R17">
        <v>-148605000</v>
      </c>
      <c r="S17">
        <v>-43009000</v>
      </c>
      <c r="T17">
        <v>-102437000</v>
      </c>
      <c r="U17">
        <v>-41364000</v>
      </c>
      <c r="V17">
        <v>-82751000</v>
      </c>
      <c r="W17">
        <v>-56028000</v>
      </c>
      <c r="X17">
        <v>-120579000</v>
      </c>
      <c r="Y17">
        <v>-41435000</v>
      </c>
      <c r="Z17">
        <v>-27793000</v>
      </c>
      <c r="AA17">
        <v>-21758000</v>
      </c>
      <c r="AB17">
        <v>-57281000</v>
      </c>
      <c r="AC17">
        <v>-22857000</v>
      </c>
      <c r="AD17">
        <v>-15429000</v>
      </c>
      <c r="AE17">
        <v>-18841000</v>
      </c>
      <c r="AF17">
        <v>-46809000</v>
      </c>
      <c r="AG17">
        <v>-23552000</v>
      </c>
      <c r="AH17">
        <v>-14315000</v>
      </c>
      <c r="AI17">
        <v>-12624000</v>
      </c>
      <c r="AJ17">
        <v>-28563000</v>
      </c>
      <c r="AK17">
        <v>-20558000</v>
      </c>
      <c r="AL17">
        <v>-21883000</v>
      </c>
      <c r="AM17">
        <v>-11599000</v>
      </c>
    </row>
    <row r="18" spans="1:39" x14ac:dyDescent="0.25">
      <c r="A18" t="s">
        <v>137</v>
      </c>
      <c r="B18">
        <v>7119909000</v>
      </c>
      <c r="C18">
        <v>10843311000</v>
      </c>
      <c r="D18">
        <v>4495123880.1108856</v>
      </c>
      <c r="E18">
        <v>4395968238.0094719</v>
      </c>
      <c r="F18">
        <v>3028929000</v>
      </c>
      <c r="G18">
        <v>8473106000</v>
      </c>
      <c r="H18">
        <v>19404296730.231987</v>
      </c>
      <c r="I18">
        <v>7892075714.9021835</v>
      </c>
      <c r="J18">
        <v>21087481829.322765</v>
      </c>
      <c r="K18">
        <v>8076256771.5507765</v>
      </c>
      <c r="M18">
        <v>2491510000</v>
      </c>
      <c r="N18">
        <v>3681623000</v>
      </c>
      <c r="O18">
        <v>2722523000</v>
      </c>
      <c r="P18">
        <v>6771336000</v>
      </c>
      <c r="Q18">
        <v>1017291000</v>
      </c>
      <c r="R18">
        <v>1085118000</v>
      </c>
      <c r="S18">
        <v>1880443000</v>
      </c>
      <c r="T18">
        <v>1750051000</v>
      </c>
      <c r="U18">
        <v>2434493000</v>
      </c>
      <c r="V18">
        <v>1511406000</v>
      </c>
      <c r="W18">
        <v>1403387000</v>
      </c>
      <c r="X18">
        <v>1311890000</v>
      </c>
      <c r="Y18">
        <v>1084500000</v>
      </c>
      <c r="Z18">
        <v>674800000</v>
      </c>
      <c r="AA18">
        <v>747180000</v>
      </c>
      <c r="AB18">
        <v>1029839000</v>
      </c>
      <c r="AC18">
        <v>3093627000</v>
      </c>
      <c r="AD18">
        <v>1021823000</v>
      </c>
      <c r="AE18">
        <v>508878000</v>
      </c>
      <c r="AF18">
        <v>900341000</v>
      </c>
      <c r="AG18">
        <v>390853000</v>
      </c>
      <c r="AH18">
        <v>234225000</v>
      </c>
      <c r="AI18">
        <v>410486000</v>
      </c>
      <c r="AJ18">
        <v>281052000</v>
      </c>
      <c r="AK18">
        <v>95994000</v>
      </c>
      <c r="AL18">
        <v>68301000</v>
      </c>
      <c r="AM18">
        <v>44329000</v>
      </c>
    </row>
    <row r="19" spans="1:39" x14ac:dyDescent="0.25">
      <c r="A19" t="s">
        <v>138</v>
      </c>
      <c r="B19">
        <v>-4524590000</v>
      </c>
      <c r="C19">
        <v>-7201739000</v>
      </c>
      <c r="D19">
        <v>-6798467255.5675297</v>
      </c>
      <c r="E19">
        <v>-4392286023.3991528</v>
      </c>
      <c r="F19">
        <v>-2882204000</v>
      </c>
      <c r="G19">
        <v>-5875683000</v>
      </c>
      <c r="H19">
        <v>-14894831834.890385</v>
      </c>
      <c r="I19">
        <v>-4915291996.3282261</v>
      </c>
      <c r="J19">
        <v>-9911897540.6999569</v>
      </c>
      <c r="K19">
        <v>-5936594465.4657249</v>
      </c>
      <c r="M19">
        <v>-1692306000</v>
      </c>
      <c r="N19">
        <v>-2298625000</v>
      </c>
      <c r="O19">
        <v>-1774014000</v>
      </c>
      <c r="P19">
        <v>-3566467000</v>
      </c>
      <c r="Q19">
        <v>-1085519000</v>
      </c>
      <c r="R19">
        <v>-770502000</v>
      </c>
      <c r="S19">
        <v>-983502000</v>
      </c>
      <c r="T19">
        <v>-2374576000</v>
      </c>
      <c r="U19">
        <v>-1296573000</v>
      </c>
      <c r="V19">
        <v>-1050777000</v>
      </c>
      <c r="W19">
        <v>-743000000</v>
      </c>
      <c r="X19">
        <v>-1026351000</v>
      </c>
      <c r="Y19">
        <v>-1199725000</v>
      </c>
      <c r="Z19">
        <v>-577287000</v>
      </c>
      <c r="AA19">
        <v>-450339000</v>
      </c>
      <c r="AB19">
        <v>-1564780000</v>
      </c>
      <c r="AC19">
        <v>-2470808000</v>
      </c>
      <c r="AD19">
        <v>-742293000</v>
      </c>
      <c r="AE19">
        <v>-375395000</v>
      </c>
      <c r="AF19">
        <v>-775847000</v>
      </c>
      <c r="AG19">
        <v>-326426000</v>
      </c>
      <c r="AH19">
        <v>-268797000</v>
      </c>
      <c r="AI19">
        <v>-307350000</v>
      </c>
      <c r="AJ19">
        <v>-109075000</v>
      </c>
      <c r="AK19">
        <v>-49393000</v>
      </c>
      <c r="AL19">
        <v>-57597000</v>
      </c>
      <c r="AM19">
        <v>-69533000</v>
      </c>
    </row>
    <row r="20" spans="1:39" x14ac:dyDescent="0.25">
      <c r="A20" t="s">
        <v>139</v>
      </c>
    </row>
    <row r="21" spans="1:39" x14ac:dyDescent="0.25">
      <c r="A21" t="s">
        <v>140</v>
      </c>
      <c r="B21">
        <v>9606700000</v>
      </c>
      <c r="C21">
        <v>7851386000</v>
      </c>
      <c r="D21">
        <v>14055379481.807255</v>
      </c>
      <c r="E21">
        <v>5236537501.1321564</v>
      </c>
      <c r="F21">
        <v>6016135000</v>
      </c>
      <c r="G21">
        <v>6562173000</v>
      </c>
      <c r="H21">
        <v>13826673767.703022</v>
      </c>
      <c r="I21">
        <v>6287416676.8158379</v>
      </c>
      <c r="J21">
        <v>15865047621.043507</v>
      </c>
      <c r="K21">
        <v>6089730189.247571</v>
      </c>
      <c r="M21">
        <v>2054152000</v>
      </c>
      <c r="N21">
        <v>2914221000</v>
      </c>
      <c r="O21">
        <v>1854249000</v>
      </c>
      <c r="P21">
        <v>6106744000</v>
      </c>
      <c r="Q21">
        <v>393596000</v>
      </c>
      <c r="R21">
        <v>1356617000</v>
      </c>
      <c r="S21">
        <v>1561211000</v>
      </c>
      <c r="T21">
        <v>1413698000</v>
      </c>
      <c r="U21">
        <v>1603378000</v>
      </c>
      <c r="V21">
        <v>1044081000</v>
      </c>
      <c r="W21">
        <v>1215232000</v>
      </c>
      <c r="X21">
        <v>1507162000</v>
      </c>
      <c r="Y21">
        <v>434457000</v>
      </c>
      <c r="Z21">
        <v>595132000</v>
      </c>
      <c r="AA21">
        <v>640511000</v>
      </c>
      <c r="AB21">
        <v>230877000</v>
      </c>
      <c r="AC21">
        <v>960398000</v>
      </c>
      <c r="AD21">
        <v>657030000</v>
      </c>
      <c r="AE21">
        <v>376791000</v>
      </c>
      <c r="AF21">
        <v>569388000</v>
      </c>
      <c r="AG21">
        <v>231127000</v>
      </c>
      <c r="AH21">
        <v>142991000</v>
      </c>
      <c r="AI21">
        <v>340601000</v>
      </c>
      <c r="AJ21">
        <v>445637000</v>
      </c>
      <c r="AK21">
        <v>158664000</v>
      </c>
      <c r="AL21">
        <v>112653000</v>
      </c>
      <c r="AM21">
        <v>93049000</v>
      </c>
    </row>
    <row r="23" spans="1:39" x14ac:dyDescent="0.25">
      <c r="A23" t="s">
        <v>141</v>
      </c>
    </row>
    <row r="24" spans="1:39" x14ac:dyDescent="0.25">
      <c r="A24" t="s">
        <v>142</v>
      </c>
    </row>
    <row r="25" spans="1:39" x14ac:dyDescent="0.25">
      <c r="A25" t="s">
        <v>143</v>
      </c>
      <c r="B25">
        <v>166946000</v>
      </c>
      <c r="C25">
        <v>36353000</v>
      </c>
      <c r="D25">
        <v>12558873.724710062</v>
      </c>
      <c r="E25">
        <v>277807.83085791767</v>
      </c>
      <c r="F25">
        <v>64452000</v>
      </c>
      <c r="G25">
        <v>22002000</v>
      </c>
      <c r="H25">
        <v>9728417.6509910002</v>
      </c>
      <c r="I25">
        <v>2395874.4279024079</v>
      </c>
      <c r="J25">
        <v>47168444.476542391</v>
      </c>
      <c r="K25">
        <v>-1493638.1478814639</v>
      </c>
      <c r="M25">
        <v>755000</v>
      </c>
      <c r="N25">
        <v>5264000</v>
      </c>
      <c r="O25">
        <v>306000</v>
      </c>
      <c r="P25">
        <v>540000</v>
      </c>
      <c r="Q25">
        <v>7909000</v>
      </c>
      <c r="R25">
        <v>19000</v>
      </c>
      <c r="S25">
        <v>2131000</v>
      </c>
      <c r="T25">
        <v>2624000</v>
      </c>
      <c r="U25">
        <v>0</v>
      </c>
      <c r="V25">
        <v>5281000</v>
      </c>
      <c r="W25">
        <v>31000</v>
      </c>
      <c r="X25">
        <v>4351000</v>
      </c>
      <c r="Y25">
        <v>493000</v>
      </c>
      <c r="Z25">
        <v>1497000</v>
      </c>
      <c r="AA25">
        <v>38000</v>
      </c>
      <c r="AB25">
        <v>-426000</v>
      </c>
      <c r="AC25">
        <v>1726000</v>
      </c>
      <c r="AD25">
        <v>3460000</v>
      </c>
      <c r="AE25">
        <v>29000</v>
      </c>
      <c r="AF25">
        <v>35000</v>
      </c>
      <c r="AG25">
        <v>141000</v>
      </c>
      <c r="AH25">
        <v>162000</v>
      </c>
      <c r="AI25">
        <v>8964000</v>
      </c>
      <c r="AJ25">
        <v>322000</v>
      </c>
      <c r="AK25">
        <v>71000</v>
      </c>
      <c r="AL25">
        <v>121000</v>
      </c>
      <c r="AM25">
        <v>8223000</v>
      </c>
    </row>
    <row r="26" spans="1:39" x14ac:dyDescent="0.25">
      <c r="A26" t="s">
        <v>144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M26">
        <v>0</v>
      </c>
      <c r="N26">
        <v>0</v>
      </c>
      <c r="O26">
        <v>0</v>
      </c>
      <c r="P26">
        <v>0</v>
      </c>
    </row>
    <row r="27" spans="1:39" x14ac:dyDescent="0.25">
      <c r="A27" t="s">
        <v>145</v>
      </c>
    </row>
    <row r="28" spans="1:39" x14ac:dyDescent="0.25">
      <c r="A28" t="s">
        <v>146</v>
      </c>
      <c r="B28">
        <v>-100732000</v>
      </c>
      <c r="C28">
        <v>-106852000</v>
      </c>
      <c r="D28">
        <v>-37364595.615149952</v>
      </c>
      <c r="E28">
        <v>-2599283.6122810915</v>
      </c>
      <c r="F28">
        <v>12068000</v>
      </c>
      <c r="G28">
        <v>-39768000</v>
      </c>
      <c r="H28">
        <v>8595556.277660355</v>
      </c>
      <c r="I28">
        <v>-66693.762431330979</v>
      </c>
      <c r="J28">
        <v>-7162980.7742886832</v>
      </c>
      <c r="K28">
        <v>-3847536.2416946562</v>
      </c>
      <c r="M28">
        <v>-13179000</v>
      </c>
      <c r="N28">
        <v>2881000</v>
      </c>
      <c r="O28">
        <v>-8390000</v>
      </c>
      <c r="P28">
        <v>18135000</v>
      </c>
      <c r="Q28">
        <v>-13766000</v>
      </c>
      <c r="R28">
        <v>-2173000</v>
      </c>
      <c r="S28">
        <v>-5016000</v>
      </c>
      <c r="T28">
        <v>24728000</v>
      </c>
      <c r="U28">
        <v>-2813000</v>
      </c>
      <c r="V28">
        <v>-1068000</v>
      </c>
      <c r="W28">
        <v>-8439000</v>
      </c>
      <c r="X28">
        <v>-3711000</v>
      </c>
      <c r="Y28">
        <v>1185000</v>
      </c>
      <c r="Z28">
        <v>5989000</v>
      </c>
      <c r="AA28">
        <v>-1138000</v>
      </c>
      <c r="AB28">
        <v>-1427000</v>
      </c>
      <c r="AC28">
        <v>-1576000</v>
      </c>
      <c r="AD28">
        <v>-3947000</v>
      </c>
      <c r="AE28">
        <v>-2001000</v>
      </c>
      <c r="AF28">
        <v>7072000</v>
      </c>
      <c r="AG28">
        <v>-3492000</v>
      </c>
      <c r="AH28">
        <v>-2398000</v>
      </c>
      <c r="AI28">
        <v>8120000</v>
      </c>
      <c r="AJ28">
        <v>-1194000</v>
      </c>
      <c r="AK28">
        <v>1634000</v>
      </c>
      <c r="AL28">
        <v>3515000</v>
      </c>
      <c r="AM28">
        <v>-3742000</v>
      </c>
    </row>
    <row r="29" spans="1:39" x14ac:dyDescent="0.25">
      <c r="A29" t="s">
        <v>147</v>
      </c>
    </row>
    <row r="30" spans="1:39" x14ac:dyDescent="0.25">
      <c r="A30" t="s">
        <v>148</v>
      </c>
    </row>
    <row r="31" spans="1:39" x14ac:dyDescent="0.25">
      <c r="A31" t="s">
        <v>149</v>
      </c>
    </row>
    <row r="32" spans="1:39" x14ac:dyDescent="0.25">
      <c r="A32" t="s">
        <v>150</v>
      </c>
    </row>
    <row r="33" spans="1:39" x14ac:dyDescent="0.25">
      <c r="A33" t="s">
        <v>151</v>
      </c>
      <c r="B33">
        <v>9672914000</v>
      </c>
      <c r="C33">
        <v>7780887000</v>
      </c>
      <c r="D33">
        <v>14030573759.916821</v>
      </c>
      <c r="E33">
        <v>5234216025.3507309</v>
      </c>
      <c r="F33">
        <v>6092655000</v>
      </c>
      <c r="G33">
        <v>6544407000</v>
      </c>
      <c r="H33">
        <v>13844997741.631668</v>
      </c>
      <c r="I33">
        <v>6289745857.481308</v>
      </c>
      <c r="J33">
        <v>15905053084.745764</v>
      </c>
      <c r="K33">
        <v>6084389014.857996</v>
      </c>
      <c r="M33">
        <v>2041728000</v>
      </c>
      <c r="N33">
        <v>2922366000</v>
      </c>
      <c r="O33">
        <v>1846165000</v>
      </c>
      <c r="P33">
        <v>6125419000</v>
      </c>
      <c r="Q33">
        <v>387739000</v>
      </c>
      <c r="R33">
        <v>1354463000</v>
      </c>
      <c r="S33">
        <v>1558326000</v>
      </c>
      <c r="T33">
        <v>1441050000</v>
      </c>
      <c r="U33">
        <v>1600565000</v>
      </c>
      <c r="V33">
        <v>1048294000</v>
      </c>
      <c r="W33">
        <v>1206824000</v>
      </c>
      <c r="X33">
        <v>1507802000</v>
      </c>
      <c r="Y33">
        <v>436135000</v>
      </c>
      <c r="Z33">
        <v>602618000</v>
      </c>
      <c r="AA33">
        <v>639411000</v>
      </c>
      <c r="AB33">
        <v>229024000</v>
      </c>
      <c r="AC33">
        <v>960548000</v>
      </c>
      <c r="AD33">
        <v>656543000</v>
      </c>
      <c r="AE33">
        <v>374819000</v>
      </c>
      <c r="AF33">
        <v>576495000</v>
      </c>
      <c r="AG33">
        <v>227776000</v>
      </c>
      <c r="AH33">
        <v>140755000</v>
      </c>
      <c r="AI33">
        <v>357685000</v>
      </c>
      <c r="AJ33">
        <v>444765000</v>
      </c>
      <c r="AK33">
        <v>160369000</v>
      </c>
      <c r="AL33">
        <v>116289000</v>
      </c>
      <c r="AM33">
        <v>97530000</v>
      </c>
    </row>
    <row r="35" spans="1:39" x14ac:dyDescent="0.25">
      <c r="A35" t="s">
        <v>152</v>
      </c>
      <c r="B35">
        <v>1016354000</v>
      </c>
      <c r="C35">
        <v>895497000</v>
      </c>
      <c r="D35">
        <v>1221615972.2142658</v>
      </c>
      <c r="E35">
        <v>228704298.8963486</v>
      </c>
      <c r="F35">
        <v>218494000</v>
      </c>
      <c r="G35">
        <v>394206000</v>
      </c>
      <c r="H35">
        <v>384098144.88399696</v>
      </c>
      <c r="I35">
        <v>633715831.0769732</v>
      </c>
      <c r="J35">
        <v>256230518.1499511</v>
      </c>
      <c r="K35">
        <v>716549267.9311341</v>
      </c>
      <c r="M35">
        <v>37694000</v>
      </c>
      <c r="N35">
        <v>352759000</v>
      </c>
      <c r="O35">
        <v>199795000</v>
      </c>
      <c r="P35">
        <v>-205210000</v>
      </c>
      <c r="Q35">
        <v>284369000</v>
      </c>
      <c r="R35">
        <v>260202000</v>
      </c>
      <c r="S35">
        <v>174690000</v>
      </c>
      <c r="T35">
        <v>480838000</v>
      </c>
      <c r="U35">
        <v>175730000</v>
      </c>
      <c r="V35">
        <v>236462000</v>
      </c>
      <c r="W35">
        <v>164559000</v>
      </c>
      <c r="X35">
        <v>156791000</v>
      </c>
      <c r="Y35">
        <v>319889000</v>
      </c>
      <c r="Z35">
        <v>237238000</v>
      </c>
      <c r="AA35">
        <v>271289000</v>
      </c>
      <c r="AB35">
        <v>395212000</v>
      </c>
      <c r="AC35">
        <v>307437000</v>
      </c>
      <c r="AD35">
        <v>112303000</v>
      </c>
      <c r="AE35">
        <v>61527000</v>
      </c>
      <c r="AF35">
        <v>-6580000</v>
      </c>
      <c r="AG35">
        <v>92555000</v>
      </c>
      <c r="AH35">
        <v>80363000</v>
      </c>
      <c r="AI35">
        <v>79204000</v>
      </c>
      <c r="AJ35">
        <v>5501000</v>
      </c>
      <c r="AK35">
        <v>14733000</v>
      </c>
      <c r="AL35">
        <v>18299000</v>
      </c>
      <c r="AM35">
        <v>27828000</v>
      </c>
    </row>
    <row r="36" spans="1:39" x14ac:dyDescent="0.25">
      <c r="A36" t="s">
        <v>153</v>
      </c>
      <c r="B36">
        <v>-4272848000</v>
      </c>
      <c r="C36">
        <v>-3492281000</v>
      </c>
      <c r="D36">
        <v>-1155583862.402029</v>
      </c>
      <c r="E36">
        <v>-2652708001.0015211</v>
      </c>
      <c r="F36">
        <v>-1660603000</v>
      </c>
      <c r="G36">
        <v>-2669876000</v>
      </c>
      <c r="H36">
        <v>-4642538530.9092674</v>
      </c>
      <c r="I36">
        <v>-1111100633.8019085</v>
      </c>
      <c r="J36">
        <v>-7440450394.7458057</v>
      </c>
      <c r="K36">
        <v>-1686150008.6233289</v>
      </c>
      <c r="M36">
        <v>-482928000</v>
      </c>
      <c r="N36">
        <v>-908489000</v>
      </c>
      <c r="O36">
        <v>-674937000</v>
      </c>
      <c r="P36">
        <v>-1812738000</v>
      </c>
      <c r="Q36">
        <v>-191676000</v>
      </c>
      <c r="R36">
        <v>-334710000</v>
      </c>
      <c r="S36">
        <v>-404451000</v>
      </c>
      <c r="T36">
        <v>-285425000</v>
      </c>
      <c r="U36">
        <v>-506940000</v>
      </c>
      <c r="V36">
        <v>-281519000</v>
      </c>
      <c r="W36">
        <v>-395287000</v>
      </c>
      <c r="X36">
        <v>-212565000</v>
      </c>
      <c r="Y36">
        <v>-210131000</v>
      </c>
      <c r="Z36">
        <v>-184858000</v>
      </c>
      <c r="AA36">
        <v>-255088000</v>
      </c>
      <c r="AB36">
        <v>-157087000</v>
      </c>
      <c r="AC36">
        <v>-399344000</v>
      </c>
      <c r="AD36">
        <v>-177918000</v>
      </c>
      <c r="AE36">
        <v>-121298000</v>
      </c>
      <c r="AF36">
        <v>-21169000</v>
      </c>
      <c r="AG36">
        <v>-122417000</v>
      </c>
      <c r="AH36">
        <v>-108827000</v>
      </c>
      <c r="AI36">
        <v>-130878000</v>
      </c>
      <c r="AJ36">
        <v>-72240000</v>
      </c>
      <c r="AK36">
        <v>-30061000</v>
      </c>
      <c r="AL36">
        <v>-35153000</v>
      </c>
      <c r="AM36">
        <v>-13837000</v>
      </c>
    </row>
    <row r="37" spans="1:39" x14ac:dyDescent="0.25">
      <c r="A37" t="s">
        <v>154</v>
      </c>
      <c r="B37">
        <v>-6537937000</v>
      </c>
      <c r="C37">
        <v>-7447916000</v>
      </c>
      <c r="D37">
        <v>-3210342572.1658535</v>
      </c>
      <c r="E37">
        <v>-2742072040.1676865</v>
      </c>
      <c r="F37">
        <v>-5180134000</v>
      </c>
      <c r="G37">
        <v>-5049457000</v>
      </c>
      <c r="H37">
        <v>-3598499868.651762</v>
      </c>
      <c r="I37">
        <v>-1800629156.8506222</v>
      </c>
      <c r="J37">
        <v>-7523656573.3780594</v>
      </c>
      <c r="K37">
        <v>-4166956026.5167365</v>
      </c>
    </row>
    <row r="38" spans="1:39" x14ac:dyDescent="0.25">
      <c r="A38" t="s">
        <v>155</v>
      </c>
      <c r="B38">
        <v>-121517000</v>
      </c>
      <c r="C38">
        <v>-2263813000</v>
      </c>
      <c r="D38">
        <v>10886263297.563202</v>
      </c>
      <c r="E38">
        <v>68140283.077872992</v>
      </c>
      <c r="F38">
        <v>-529588000</v>
      </c>
      <c r="G38">
        <v>-780720000</v>
      </c>
      <c r="H38">
        <v>5988057486.9546318</v>
      </c>
      <c r="I38">
        <v>4011731897.9057488</v>
      </c>
      <c r="J38">
        <v>1197176634.7718482</v>
      </c>
      <c r="K38">
        <v>947832247.64906514</v>
      </c>
      <c r="M38">
        <v>1596494000</v>
      </c>
      <c r="N38">
        <v>2366636000</v>
      </c>
      <c r="O38">
        <v>1371023000</v>
      </c>
      <c r="P38">
        <v>4107471000</v>
      </c>
      <c r="Q38">
        <v>480432000</v>
      </c>
      <c r="R38">
        <v>1279955000</v>
      </c>
      <c r="S38">
        <v>1328565000</v>
      </c>
      <c r="T38">
        <v>1636463000</v>
      </c>
      <c r="U38">
        <v>1269355000</v>
      </c>
      <c r="V38">
        <v>1003237000</v>
      </c>
      <c r="W38">
        <v>976096000</v>
      </c>
      <c r="X38">
        <v>1452028000</v>
      </c>
      <c r="Y38">
        <v>545893000</v>
      </c>
      <c r="Z38">
        <v>654998000</v>
      </c>
      <c r="AA38">
        <v>655612000</v>
      </c>
      <c r="AB38">
        <v>467149000</v>
      </c>
      <c r="AC38">
        <v>868641000</v>
      </c>
      <c r="AD38">
        <v>590928000</v>
      </c>
      <c r="AE38">
        <v>315048000</v>
      </c>
      <c r="AF38">
        <v>548746000</v>
      </c>
      <c r="AG38">
        <v>197914000</v>
      </c>
      <c r="AH38">
        <v>112291000</v>
      </c>
      <c r="AI38">
        <v>306011000</v>
      </c>
      <c r="AJ38">
        <v>378026000</v>
      </c>
      <c r="AK38">
        <v>145041000</v>
      </c>
      <c r="AL38">
        <v>99435000</v>
      </c>
      <c r="AM38">
        <v>111521000</v>
      </c>
    </row>
    <row r="40" spans="1:39" x14ac:dyDescent="0.25">
      <c r="A40" t="s">
        <v>156</v>
      </c>
      <c r="B40">
        <v>4270477000</v>
      </c>
      <c r="C40">
        <v>4525462000</v>
      </c>
      <c r="D40">
        <v>-657300052.36403561</v>
      </c>
      <c r="E40">
        <v>2539976050.9746037</v>
      </c>
      <c r="F40">
        <v>3639682000</v>
      </c>
      <c r="G40">
        <v>2594491000</v>
      </c>
      <c r="H40">
        <v>1031353365.5194433</v>
      </c>
      <c r="I40">
        <v>-725944599.24957514</v>
      </c>
      <c r="J40">
        <v>2354797517.8696928</v>
      </c>
      <c r="K40">
        <v>-2382878185.1471786</v>
      </c>
      <c r="M40">
        <v>341929000</v>
      </c>
      <c r="N40">
        <v>-246766000</v>
      </c>
      <c r="O40">
        <v>305918000</v>
      </c>
      <c r="P40">
        <v>-115622000</v>
      </c>
      <c r="Q40">
        <v>121016000</v>
      </c>
      <c r="R40">
        <v>25262000</v>
      </c>
      <c r="S40">
        <v>-99738000</v>
      </c>
      <c r="T40">
        <v>-173722000</v>
      </c>
      <c r="U40">
        <v>-118801000</v>
      </c>
      <c r="V40">
        <v>-75480000</v>
      </c>
      <c r="W40">
        <v>-55882000</v>
      </c>
      <c r="X40">
        <v>-78289000</v>
      </c>
      <c r="Y40">
        <v>97717000</v>
      </c>
      <c r="Z40">
        <v>50765000</v>
      </c>
      <c r="AA40">
        <v>-26051000</v>
      </c>
      <c r="AB40">
        <v>116664000</v>
      </c>
      <c r="AC40">
        <v>-74913000</v>
      </c>
      <c r="AD40">
        <v>-464000</v>
      </c>
      <c r="AE40">
        <v>36294000</v>
      </c>
      <c r="AF40">
        <v>74908000</v>
      </c>
      <c r="AG40">
        <v>9784000</v>
      </c>
      <c r="AH40">
        <v>88639000</v>
      </c>
      <c r="AI40">
        <v>37687000</v>
      </c>
      <c r="AJ40">
        <v>28040000</v>
      </c>
      <c r="AK40">
        <v>8134000</v>
      </c>
      <c r="AL40">
        <v>24746000</v>
      </c>
      <c r="AM40">
        <v>258000</v>
      </c>
    </row>
    <row r="41" spans="1:39" x14ac:dyDescent="0.25">
      <c r="A41" t="s">
        <v>157</v>
      </c>
      <c r="B41">
        <v>-19274000</v>
      </c>
      <c r="C41">
        <v>-92968000</v>
      </c>
      <c r="D41">
        <v>-48328232.453824028</v>
      </c>
      <c r="E41">
        <v>2992304.778794691</v>
      </c>
      <c r="F41">
        <v>-10635000</v>
      </c>
      <c r="G41">
        <v>-7117000</v>
      </c>
      <c r="H41">
        <v>182563278.16380239</v>
      </c>
      <c r="I41">
        <v>501163628.58873606</v>
      </c>
      <c r="J41">
        <v>-2585217536.6685495</v>
      </c>
      <c r="K41">
        <v>-731963.72165619663</v>
      </c>
      <c r="M41">
        <v>-599000</v>
      </c>
      <c r="N41">
        <v>-143000</v>
      </c>
      <c r="O41">
        <v>-988000</v>
      </c>
      <c r="P41">
        <v>-1632000</v>
      </c>
      <c r="Q41">
        <v>-565000</v>
      </c>
      <c r="R41">
        <v>-58000</v>
      </c>
      <c r="S41">
        <v>-146000</v>
      </c>
      <c r="T41">
        <v>608000</v>
      </c>
      <c r="U41">
        <v>-1996000</v>
      </c>
      <c r="V41">
        <v>-1614000</v>
      </c>
      <c r="W41">
        <v>-1633000</v>
      </c>
      <c r="X41">
        <v>-9781000</v>
      </c>
      <c r="Y41">
        <v>-2659000</v>
      </c>
      <c r="Z41">
        <v>-1811000</v>
      </c>
      <c r="AA41">
        <v>-617000</v>
      </c>
      <c r="AB41">
        <v>-2867000</v>
      </c>
      <c r="AC41">
        <v>-5096000</v>
      </c>
      <c r="AD41">
        <v>-942000</v>
      </c>
      <c r="AE41">
        <v>-2117000</v>
      </c>
      <c r="AF41">
        <v>-754000</v>
      </c>
      <c r="AG41">
        <v>-186000</v>
      </c>
      <c r="AH41">
        <v>125000</v>
      </c>
      <c r="AI41">
        <v>-1221000</v>
      </c>
      <c r="AJ41">
        <v>-438000</v>
      </c>
      <c r="AK41">
        <v>-573000</v>
      </c>
      <c r="AL41">
        <v>-376000</v>
      </c>
      <c r="AM41">
        <v>-161000</v>
      </c>
    </row>
    <row r="42" spans="1:39" x14ac:dyDescent="0.25">
      <c r="A42" t="s">
        <v>158</v>
      </c>
      <c r="B42">
        <v>4289751000</v>
      </c>
      <c r="C42">
        <v>4618430000</v>
      </c>
      <c r="D42">
        <v>-608971819.91021061</v>
      </c>
      <c r="E42">
        <v>2536983746.1958084</v>
      </c>
      <c r="F42">
        <v>3650317000</v>
      </c>
      <c r="G42">
        <v>2601608000</v>
      </c>
      <c r="H42">
        <v>848790087.35564113</v>
      </c>
      <c r="I42">
        <v>-1227108227.838311</v>
      </c>
      <c r="J42">
        <v>4940015054.5382423</v>
      </c>
      <c r="K42">
        <v>-2382146221.4255223</v>
      </c>
      <c r="M42">
        <v>342528000</v>
      </c>
      <c r="N42">
        <v>-246623000</v>
      </c>
      <c r="O42">
        <v>306906000</v>
      </c>
      <c r="P42">
        <v>-113990000</v>
      </c>
      <c r="Q42">
        <v>121581000</v>
      </c>
      <c r="R42">
        <v>25320000</v>
      </c>
      <c r="S42">
        <v>-99592000</v>
      </c>
      <c r="T42">
        <v>-174330000</v>
      </c>
      <c r="U42">
        <v>-116805000</v>
      </c>
      <c r="V42">
        <v>-73866000</v>
      </c>
      <c r="W42">
        <v>-54249000</v>
      </c>
      <c r="X42">
        <v>-68508000</v>
      </c>
      <c r="Y42">
        <v>100376000</v>
      </c>
      <c r="Z42">
        <v>52576000</v>
      </c>
      <c r="AA42">
        <v>-25434000</v>
      </c>
      <c r="AB42">
        <v>119531000</v>
      </c>
      <c r="AC42">
        <v>-69817000</v>
      </c>
      <c r="AD42">
        <v>478000</v>
      </c>
      <c r="AE42">
        <v>38411000</v>
      </c>
      <c r="AF42">
        <v>75662000</v>
      </c>
      <c r="AG42">
        <v>9970000</v>
      </c>
      <c r="AH42">
        <v>88514000</v>
      </c>
      <c r="AI42">
        <v>38908000</v>
      </c>
      <c r="AJ42">
        <v>28478000</v>
      </c>
      <c r="AK42">
        <v>8707000</v>
      </c>
      <c r="AL42">
        <v>25122000</v>
      </c>
      <c r="AM42">
        <v>419000</v>
      </c>
    </row>
    <row r="43" spans="1:39" x14ac:dyDescent="0.25">
      <c r="A43" t="s">
        <v>159</v>
      </c>
      <c r="B43">
        <v>4148960000</v>
      </c>
      <c r="C43">
        <v>2261649000</v>
      </c>
      <c r="D43">
        <v>10228963245.199169</v>
      </c>
      <c r="E43">
        <v>2608116334.0524759</v>
      </c>
      <c r="F43">
        <v>3110094000</v>
      </c>
      <c r="G43">
        <v>1813771000</v>
      </c>
      <c r="H43">
        <v>7019410852.4740763</v>
      </c>
      <c r="I43">
        <v>3285787298.6561737</v>
      </c>
      <c r="J43">
        <v>3551974152.6415415</v>
      </c>
      <c r="K43">
        <v>-1435045937.4981136</v>
      </c>
      <c r="M43">
        <v>1938423000</v>
      </c>
      <c r="N43">
        <v>2119870000</v>
      </c>
      <c r="O43">
        <v>1676941000</v>
      </c>
      <c r="P43">
        <v>3991849000</v>
      </c>
      <c r="Q43">
        <v>601448000</v>
      </c>
      <c r="R43">
        <v>1305217000</v>
      </c>
      <c r="S43">
        <v>1228827000</v>
      </c>
      <c r="T43">
        <v>1462741000</v>
      </c>
      <c r="U43">
        <v>1150554000</v>
      </c>
      <c r="V43">
        <v>927757000</v>
      </c>
      <c r="W43">
        <v>920214000</v>
      </c>
      <c r="X43">
        <v>1373739000</v>
      </c>
      <c r="Y43">
        <v>643610000</v>
      </c>
      <c r="Z43">
        <v>705763000</v>
      </c>
      <c r="AA43">
        <v>629561000</v>
      </c>
      <c r="AB43">
        <v>583813000</v>
      </c>
      <c r="AC43">
        <v>793728000</v>
      </c>
      <c r="AD43">
        <v>590464000</v>
      </c>
      <c r="AE43">
        <v>351342000</v>
      </c>
      <c r="AF43">
        <v>623654000</v>
      </c>
      <c r="AG43">
        <v>207698000</v>
      </c>
      <c r="AH43">
        <v>200930000</v>
      </c>
      <c r="AI43">
        <v>343698000</v>
      </c>
      <c r="AJ43">
        <v>406066000</v>
      </c>
      <c r="AK43">
        <v>153175000</v>
      </c>
      <c r="AL43">
        <v>124181000</v>
      </c>
      <c r="AM43">
        <v>111779000</v>
      </c>
    </row>
    <row r="44" spans="1:39" x14ac:dyDescent="0.25">
      <c r="A44" t="s">
        <v>160</v>
      </c>
    </row>
    <row r="46" spans="1:39" x14ac:dyDescent="0.25">
      <c r="A46" t="s">
        <v>161</v>
      </c>
      <c r="B46">
        <v>4148960000</v>
      </c>
      <c r="C46">
        <v>2261649000</v>
      </c>
      <c r="D46">
        <v>10228963245.199169</v>
      </c>
      <c r="E46">
        <v>2608116334.0524759</v>
      </c>
      <c r="F46">
        <v>3110094000</v>
      </c>
      <c r="G46">
        <v>1813771000</v>
      </c>
      <c r="H46">
        <v>7019410852.4740763</v>
      </c>
      <c r="I46">
        <v>3285787298.6561737</v>
      </c>
      <c r="J46">
        <v>3551974152.6415415</v>
      </c>
      <c r="K46">
        <v>-1435045937.4981136</v>
      </c>
      <c r="M46">
        <v>1938423000</v>
      </c>
      <c r="N46">
        <v>2119870000</v>
      </c>
      <c r="O46">
        <v>1676941000</v>
      </c>
      <c r="P46">
        <v>3991849000</v>
      </c>
      <c r="Q46">
        <v>601448000</v>
      </c>
      <c r="R46">
        <v>1305217000</v>
      </c>
      <c r="S46">
        <v>1228827000</v>
      </c>
      <c r="T46">
        <v>1462741000</v>
      </c>
      <c r="U46">
        <v>1150554000</v>
      </c>
      <c r="V46">
        <v>927757000</v>
      </c>
      <c r="W46">
        <v>920214000</v>
      </c>
      <c r="X46">
        <v>1373739000</v>
      </c>
      <c r="Y46">
        <v>643610000</v>
      </c>
      <c r="Z46">
        <v>705763000</v>
      </c>
      <c r="AA46">
        <v>629561000</v>
      </c>
      <c r="AB46">
        <v>583813000</v>
      </c>
      <c r="AC46">
        <v>793728000</v>
      </c>
      <c r="AD46">
        <v>590464000</v>
      </c>
      <c r="AE46">
        <v>351342000</v>
      </c>
      <c r="AF46">
        <v>623654000</v>
      </c>
      <c r="AG46">
        <v>207698000</v>
      </c>
      <c r="AH46">
        <v>200930000</v>
      </c>
      <c r="AI46">
        <v>343698000</v>
      </c>
      <c r="AJ46">
        <v>406066000</v>
      </c>
      <c r="AK46">
        <v>153175000</v>
      </c>
      <c r="AL46">
        <v>124181000</v>
      </c>
      <c r="AM46">
        <v>111779000</v>
      </c>
    </row>
    <row r="47" spans="1:39" x14ac:dyDescent="0.25">
      <c r="A47" t="s">
        <v>117</v>
      </c>
      <c r="B47">
        <v>155680000</v>
      </c>
      <c r="C47">
        <v>-149815000</v>
      </c>
      <c r="D47">
        <v>-5606229.3251366466</v>
      </c>
      <c r="E47">
        <v>123393040.43686859</v>
      </c>
      <c r="F47">
        <v>34845000</v>
      </c>
      <c r="G47">
        <v>-241332000</v>
      </c>
      <c r="H47">
        <v>50093376.656334549</v>
      </c>
      <c r="I47">
        <v>108151237.44249661</v>
      </c>
      <c r="J47">
        <v>7260215.8074238263</v>
      </c>
      <c r="K47">
        <v>-24357375.8003527</v>
      </c>
      <c r="M47">
        <v>-17936000</v>
      </c>
      <c r="N47">
        <v>-20147000</v>
      </c>
      <c r="O47">
        <v>-18649000</v>
      </c>
      <c r="P47">
        <v>2260000</v>
      </c>
      <c r="Q47">
        <v>-1047000</v>
      </c>
      <c r="R47">
        <v>589000</v>
      </c>
      <c r="S47">
        <v>-5024000</v>
      </c>
      <c r="T47">
        <v>2073000</v>
      </c>
      <c r="U47">
        <v>3743000</v>
      </c>
      <c r="V47">
        <v>6267000</v>
      </c>
      <c r="W47">
        <v>77000</v>
      </c>
      <c r="X47">
        <v>8297000</v>
      </c>
      <c r="Y47">
        <v>1553000</v>
      </c>
      <c r="Z47">
        <v>2111000</v>
      </c>
      <c r="AA47">
        <v>265000</v>
      </c>
      <c r="AB47">
        <v>1119000</v>
      </c>
      <c r="AC47">
        <v>22000</v>
      </c>
      <c r="AD47">
        <v>28000</v>
      </c>
      <c r="AE47">
        <v>-19000</v>
      </c>
      <c r="AF47">
        <v>15000</v>
      </c>
      <c r="AG47">
        <v>16000</v>
      </c>
      <c r="AH47">
        <v>53000</v>
      </c>
      <c r="AI47">
        <v>-5000</v>
      </c>
      <c r="AJ47">
        <v>133000</v>
      </c>
      <c r="AK47">
        <v>-69000</v>
      </c>
      <c r="AL47">
        <v>80000</v>
      </c>
      <c r="AM47">
        <v>-134000</v>
      </c>
    </row>
    <row r="48" spans="1:39" x14ac:dyDescent="0.25">
      <c r="A48" t="s">
        <v>162</v>
      </c>
      <c r="B48">
        <v>3993280000</v>
      </c>
      <c r="C48">
        <v>2411464000</v>
      </c>
      <c r="D48">
        <v>10234569474.524303</v>
      </c>
      <c r="E48">
        <v>2484723293.6156073</v>
      </c>
      <c r="F48">
        <v>3075249000</v>
      </c>
      <c r="G48">
        <v>2055103000</v>
      </c>
      <c r="H48">
        <v>6969317475.8177423</v>
      </c>
      <c r="I48">
        <v>3177636061.2136774</v>
      </c>
      <c r="J48">
        <v>3544713936.8341174</v>
      </c>
      <c r="K48">
        <v>-1410688561.6977608</v>
      </c>
      <c r="M48">
        <v>1956359000</v>
      </c>
      <c r="N48">
        <v>2140017000</v>
      </c>
      <c r="O48">
        <v>1695590000</v>
      </c>
      <c r="P48">
        <v>3989589000</v>
      </c>
      <c r="Q48">
        <v>602495000</v>
      </c>
      <c r="R48">
        <v>1304628000</v>
      </c>
      <c r="S48">
        <v>1233851000</v>
      </c>
      <c r="T48">
        <v>1460668000</v>
      </c>
      <c r="U48">
        <v>1146811000</v>
      </c>
      <c r="V48">
        <v>921490000</v>
      </c>
      <c r="W48">
        <v>920137000</v>
      </c>
      <c r="X48">
        <v>1365442000</v>
      </c>
      <c r="Y48">
        <v>642057000</v>
      </c>
      <c r="Z48">
        <v>703652000</v>
      </c>
      <c r="AA48">
        <v>629296000</v>
      </c>
      <c r="AB48">
        <v>582694000</v>
      </c>
      <c r="AC48">
        <v>793706000</v>
      </c>
      <c r="AD48">
        <v>590436000</v>
      </c>
      <c r="AE48">
        <v>351361000</v>
      </c>
      <c r="AF48">
        <v>623639000</v>
      </c>
      <c r="AG48">
        <v>207682000</v>
      </c>
      <c r="AH48">
        <v>200877000</v>
      </c>
      <c r="AI48">
        <v>343703000</v>
      </c>
      <c r="AJ48">
        <v>405933000</v>
      </c>
      <c r="AK48">
        <v>153244000</v>
      </c>
      <c r="AL48">
        <v>124101000</v>
      </c>
      <c r="AM48">
        <v>111913000</v>
      </c>
    </row>
    <row r="50" spans="1:39" x14ac:dyDescent="0.25">
      <c r="A50" t="s">
        <v>163</v>
      </c>
      <c r="B50">
        <v>1004364560.1433654</v>
      </c>
      <c r="C50">
        <v>1241510439.8566346</v>
      </c>
      <c r="D50">
        <v>1067577768.040493</v>
      </c>
      <c r="E50">
        <v>873887236.42207956</v>
      </c>
      <c r="F50">
        <v>898369628.20465088</v>
      </c>
      <c r="G50">
        <v>1009861371.7953491</v>
      </c>
      <c r="H50">
        <v>1917322085.7840018</v>
      </c>
      <c r="I50">
        <v>1665562867.0627847</v>
      </c>
      <c r="J50">
        <v>1261093758.8019838</v>
      </c>
      <c r="K50">
        <v>887048252.46439552</v>
      </c>
      <c r="M50">
        <v>146598000</v>
      </c>
      <c r="N50">
        <v>137489000</v>
      </c>
      <c r="O50">
        <v>130834000</v>
      </c>
      <c r="P50">
        <v>127076000</v>
      </c>
      <c r="Q50">
        <v>110064000</v>
      </c>
      <c r="R50">
        <v>98299000</v>
      </c>
      <c r="S50">
        <v>96752000</v>
      </c>
      <c r="T50">
        <v>73023000</v>
      </c>
      <c r="U50">
        <v>76506000</v>
      </c>
      <c r="V50">
        <v>70078000</v>
      </c>
      <c r="W50">
        <v>65891000</v>
      </c>
      <c r="X50">
        <v>74624000</v>
      </c>
      <c r="Y50">
        <v>60683000</v>
      </c>
      <c r="Z50">
        <v>54784000</v>
      </c>
      <c r="AA50">
        <v>51125000</v>
      </c>
      <c r="AB50">
        <v>46914000</v>
      </c>
      <c r="AC50">
        <v>42718000</v>
      </c>
      <c r="AD50">
        <v>41707000</v>
      </c>
      <c r="AE50">
        <v>40052000</v>
      </c>
      <c r="AF50">
        <v>37052000</v>
      </c>
      <c r="AG50">
        <v>33826000</v>
      </c>
      <c r="AH50">
        <v>31793000</v>
      </c>
      <c r="AI50">
        <v>29954000</v>
      </c>
      <c r="AJ50">
        <v>28379000</v>
      </c>
      <c r="AK50">
        <v>27283000</v>
      </c>
      <c r="AL50">
        <v>28187000</v>
      </c>
      <c r="AM50">
        <v>26311000</v>
      </c>
    </row>
  </sheetData>
  <pageMargins left="0.7" right="0.7" top="0.75" bottom="0.75" header="0.3" footer="0.3"/>
  <ignoredErrors>
    <ignoredError sqref="A1:AM5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50"/>
  <sheetViews>
    <sheetView workbookViewId="0"/>
  </sheetViews>
  <sheetFormatPr defaultRowHeight="15.75" x14ac:dyDescent="0.25"/>
  <cols>
    <col min="1" max="1" width="40" customWidth="1"/>
    <col min="2" max="39" width="20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121</v>
      </c>
    </row>
    <row r="2" spans="1:39" x14ac:dyDescent="0.25">
      <c r="A2" t="s">
        <v>122</v>
      </c>
    </row>
    <row r="3" spans="1:39" x14ac:dyDescent="0.25">
      <c r="A3" t="s">
        <v>123</v>
      </c>
      <c r="B3">
        <v>145721047145.24966</v>
      </c>
      <c r="C3">
        <v>142244904145.24966</v>
      </c>
      <c r="D3">
        <v>140248591145.24966</v>
      </c>
      <c r="E3">
        <v>133457115109.24062</v>
      </c>
      <c r="F3">
        <v>127647645409.4864</v>
      </c>
      <c r="G3">
        <v>125049110299.31908</v>
      </c>
      <c r="H3">
        <v>123968784777.45247</v>
      </c>
      <c r="L3">
        <v>112627554239.08508</v>
      </c>
      <c r="M3">
        <v>27575002000</v>
      </c>
      <c r="N3">
        <v>24005483000</v>
      </c>
      <c r="O3">
        <v>21331074000</v>
      </c>
      <c r="P3">
        <v>20138953000</v>
      </c>
      <c r="Q3">
        <v>17974135000</v>
      </c>
      <c r="R3">
        <v>17848473000</v>
      </c>
      <c r="S3">
        <v>16682323000</v>
      </c>
      <c r="T3">
        <v>16104455000</v>
      </c>
      <c r="U3">
        <v>13787546000</v>
      </c>
      <c r="V3">
        <v>13618795000</v>
      </c>
      <c r="W3">
        <v>13609719000</v>
      </c>
      <c r="X3">
        <v>13012551000</v>
      </c>
      <c r="Y3">
        <v>11442249000</v>
      </c>
      <c r="Z3">
        <v>10353155000</v>
      </c>
      <c r="AA3">
        <v>9641416000</v>
      </c>
      <c r="AB3">
        <v>9008516000</v>
      </c>
      <c r="AC3">
        <v>7175019000</v>
      </c>
      <c r="AD3">
        <v>6480290000</v>
      </c>
      <c r="AE3">
        <v>5703383000</v>
      </c>
      <c r="AF3">
        <v>5412253000</v>
      </c>
      <c r="AG3">
        <v>5069536000</v>
      </c>
      <c r="AH3">
        <v>4565035000</v>
      </c>
      <c r="AI3">
        <v>4208342000</v>
      </c>
      <c r="AJ3">
        <v>3768116000</v>
      </c>
    </row>
    <row r="4" spans="1:39" x14ac:dyDescent="0.25">
      <c r="A4" t="s">
        <v>124</v>
      </c>
    </row>
    <row r="5" spans="1:39" x14ac:dyDescent="0.25">
      <c r="A5" t="s">
        <v>125</v>
      </c>
      <c r="B5">
        <v>127257783592.42331</v>
      </c>
      <c r="C5">
        <v>124204004592.42331</v>
      </c>
      <c r="D5">
        <v>121296775592.42331</v>
      </c>
      <c r="E5">
        <v>119240208085.95265</v>
      </c>
      <c r="F5">
        <v>154864806820.37604</v>
      </c>
      <c r="G5">
        <v>112325134665.55235</v>
      </c>
      <c r="H5">
        <v>113197000656.79536</v>
      </c>
      <c r="L5">
        <v>96295290082.613525</v>
      </c>
      <c r="M5">
        <v>23312495000</v>
      </c>
      <c r="P5">
        <v>18009611000</v>
      </c>
    </row>
    <row r="6" spans="1:39" x14ac:dyDescent="0.25">
      <c r="A6" t="s">
        <v>126</v>
      </c>
      <c r="B6">
        <v>19516750973.291611</v>
      </c>
      <c r="C6">
        <v>18981235973.291611</v>
      </c>
      <c r="D6">
        <v>20005302973.291611</v>
      </c>
      <c r="E6">
        <v>14347630828.447117</v>
      </c>
      <c r="F6">
        <v>17427883881.867592</v>
      </c>
      <c r="G6">
        <v>10987578216.745798</v>
      </c>
      <c r="H6">
        <v>10902507925.816246</v>
      </c>
      <c r="L6">
        <v>17227005750.002689</v>
      </c>
      <c r="M6">
        <v>4376063000</v>
      </c>
      <c r="P6">
        <v>2242898000</v>
      </c>
    </row>
    <row r="7" spans="1:39" x14ac:dyDescent="0.25">
      <c r="A7" t="s">
        <v>127</v>
      </c>
      <c r="B7">
        <v>-99421158915.445801</v>
      </c>
      <c r="C7">
        <v>-96906358915.445801</v>
      </c>
      <c r="D7">
        <v>-95727929915.445801</v>
      </c>
      <c r="E7">
        <v>-94727201045.598938</v>
      </c>
      <c r="F7">
        <v>-92121165475.706848</v>
      </c>
      <c r="G7">
        <v>-91005302096.409729</v>
      </c>
      <c r="H7">
        <v>-90101128940.146393</v>
      </c>
      <c r="L7">
        <v>-82586998656.826477</v>
      </c>
      <c r="M7">
        <v>-18884604000</v>
      </c>
      <c r="N7">
        <v>-16512946000</v>
      </c>
      <c r="O7">
        <v>-14301121000</v>
      </c>
      <c r="P7">
        <v>-13490042000</v>
      </c>
      <c r="Q7">
        <v>-12208311000</v>
      </c>
      <c r="R7">
        <v>-12222438000</v>
      </c>
      <c r="S7">
        <v>-11897641000</v>
      </c>
      <c r="T7">
        <v>-11499440000</v>
      </c>
      <c r="U7">
        <v>-10026014000</v>
      </c>
      <c r="V7">
        <v>-9818194000</v>
      </c>
      <c r="W7">
        <v>-9951783000</v>
      </c>
      <c r="X7">
        <v>-9640818000</v>
      </c>
      <c r="Y7">
        <v>-8654245000</v>
      </c>
      <c r="Z7">
        <v>-7836448000</v>
      </c>
      <c r="AA7">
        <v>-7296350000</v>
      </c>
      <c r="AB7">
        <v>-6797424000</v>
      </c>
      <c r="AC7">
        <v>-5278437000</v>
      </c>
      <c r="AD7">
        <v>-4772436000</v>
      </c>
      <c r="AE7">
        <v>-4218515000</v>
      </c>
      <c r="AF7">
        <v>-3946278000</v>
      </c>
      <c r="AG7">
        <v>-3845470000</v>
      </c>
      <c r="AH7">
        <v>-3427166000</v>
      </c>
      <c r="AI7">
        <v>-3153142000</v>
      </c>
      <c r="AJ7">
        <v>-2845098000</v>
      </c>
    </row>
    <row r="8" spans="1:39" x14ac:dyDescent="0.25">
      <c r="A8" t="s">
        <v>128</v>
      </c>
      <c r="B8">
        <v>46299888229.803879</v>
      </c>
      <c r="C8">
        <v>45338545229.803879</v>
      </c>
      <c r="D8">
        <v>44520661229.803879</v>
      </c>
      <c r="E8">
        <v>38729914063.641693</v>
      </c>
      <c r="F8">
        <v>35526479933.779556</v>
      </c>
      <c r="G8">
        <v>34043808202.909336</v>
      </c>
      <c r="H8">
        <v>33867655837.306068</v>
      </c>
      <c r="L8">
        <v>30040555582.258602</v>
      </c>
      <c r="M8">
        <v>8690398000</v>
      </c>
      <c r="N8">
        <v>7492537000</v>
      </c>
      <c r="O8">
        <v>7029953000</v>
      </c>
      <c r="P8">
        <v>6648911000</v>
      </c>
      <c r="Q8">
        <v>5765824000</v>
      </c>
      <c r="R8">
        <v>5626035000</v>
      </c>
      <c r="S8">
        <v>4784682000</v>
      </c>
      <c r="T8">
        <v>4605015000</v>
      </c>
      <c r="U8">
        <v>3761532000</v>
      </c>
      <c r="V8">
        <v>3800601000</v>
      </c>
      <c r="W8">
        <v>3657936000</v>
      </c>
      <c r="X8">
        <v>3371733000</v>
      </c>
      <c r="Y8">
        <v>2788004000</v>
      </c>
      <c r="Z8">
        <v>2516707000</v>
      </c>
      <c r="AA8">
        <v>2345066000</v>
      </c>
      <c r="AB8">
        <v>2211092000</v>
      </c>
      <c r="AC8">
        <v>1896582000</v>
      </c>
      <c r="AD8">
        <v>1707854000</v>
      </c>
      <c r="AE8">
        <v>1484868000</v>
      </c>
      <c r="AF8">
        <v>1465975000</v>
      </c>
      <c r="AG8">
        <v>1224066000</v>
      </c>
      <c r="AH8">
        <v>1137869000</v>
      </c>
      <c r="AI8">
        <v>1055200000</v>
      </c>
      <c r="AJ8">
        <v>923018000</v>
      </c>
    </row>
    <row r="9" spans="1:39" x14ac:dyDescent="0.25">
      <c r="A9" t="s">
        <v>129</v>
      </c>
    </row>
    <row r="10" spans="1:39" x14ac:dyDescent="0.25">
      <c r="A10" t="s">
        <v>130</v>
      </c>
    </row>
    <row r="11" spans="1:39" x14ac:dyDescent="0.25">
      <c r="A11" t="s">
        <v>131</v>
      </c>
    </row>
    <row r="12" spans="1:39" x14ac:dyDescent="0.25">
      <c r="A12" t="s">
        <v>132</v>
      </c>
    </row>
    <row r="13" spans="1:39" x14ac:dyDescent="0.25">
      <c r="A13" t="s">
        <v>133</v>
      </c>
      <c r="B13">
        <v>46299888229.803879</v>
      </c>
      <c r="C13">
        <v>45338545229.803879</v>
      </c>
      <c r="D13">
        <v>44520661229.803879</v>
      </c>
      <c r="E13">
        <v>38729914063.641693</v>
      </c>
      <c r="F13">
        <v>35526479933.779556</v>
      </c>
      <c r="G13">
        <v>34043808202.909336</v>
      </c>
      <c r="H13">
        <v>33867655837.306068</v>
      </c>
      <c r="L13">
        <v>30040555582.258602</v>
      </c>
      <c r="M13">
        <v>8690398000</v>
      </c>
      <c r="N13">
        <v>7492537000</v>
      </c>
      <c r="O13">
        <v>7029953000</v>
      </c>
      <c r="P13">
        <v>6648911000</v>
      </c>
      <c r="Q13">
        <v>5765824000</v>
      </c>
      <c r="R13">
        <v>5626035000</v>
      </c>
      <c r="S13">
        <v>4784682000</v>
      </c>
      <c r="T13">
        <v>4605015000</v>
      </c>
      <c r="U13">
        <v>3761532000</v>
      </c>
      <c r="V13">
        <v>3800601000</v>
      </c>
      <c r="W13">
        <v>3657936000</v>
      </c>
      <c r="X13">
        <v>3371733000</v>
      </c>
      <c r="Y13">
        <v>2788004000</v>
      </c>
      <c r="Z13">
        <v>2516707000</v>
      </c>
      <c r="AA13">
        <v>2345066000</v>
      </c>
      <c r="AB13">
        <v>2211092000</v>
      </c>
      <c r="AC13">
        <v>1896582000</v>
      </c>
      <c r="AD13">
        <v>1707854000</v>
      </c>
      <c r="AE13">
        <v>1484868000</v>
      </c>
      <c r="AF13">
        <v>1465975000</v>
      </c>
      <c r="AG13">
        <v>1224066000</v>
      </c>
      <c r="AH13">
        <v>1137869000</v>
      </c>
      <c r="AI13">
        <v>1055200000</v>
      </c>
      <c r="AJ13">
        <v>923018000</v>
      </c>
    </row>
    <row r="15" spans="1:39" x14ac:dyDescent="0.25">
      <c r="A15" t="s">
        <v>134</v>
      </c>
      <c r="B15">
        <v>-5884889045.2515326</v>
      </c>
      <c r="C15">
        <v>-6142431045.2515326</v>
      </c>
      <c r="D15">
        <v>-6155307045.2515326</v>
      </c>
      <c r="E15">
        <v>-6801738716.2269182</v>
      </c>
      <c r="F15">
        <v>-6176947890.9770851</v>
      </c>
      <c r="G15">
        <v>-6058733998.923914</v>
      </c>
      <c r="H15">
        <v>-5706758786.5787563</v>
      </c>
      <c r="L15">
        <v>-4336939789.8385487</v>
      </c>
      <c r="M15">
        <v>-951456000</v>
      </c>
      <c r="N15">
        <v>-748332000</v>
      </c>
      <c r="O15">
        <v>-651263000</v>
      </c>
      <c r="P15">
        <v>-576057000</v>
      </c>
      <c r="Q15">
        <v>-522879000</v>
      </c>
      <c r="R15">
        <v>-478104000</v>
      </c>
      <c r="S15">
        <v>-414556000</v>
      </c>
      <c r="T15">
        <v>-399590000</v>
      </c>
      <c r="U15">
        <v>-390274000</v>
      </c>
      <c r="V15">
        <v>-372613000</v>
      </c>
      <c r="W15">
        <v>-368078000</v>
      </c>
      <c r="X15">
        <v>-343456000</v>
      </c>
      <c r="Y15">
        <v>-301669000</v>
      </c>
      <c r="Z15">
        <v>-275199000</v>
      </c>
      <c r="AA15">
        <v>-248542000</v>
      </c>
      <c r="AB15">
        <v>-221719000</v>
      </c>
      <c r="AC15">
        <v>-208859000</v>
      </c>
      <c r="AD15">
        <v>-195558000</v>
      </c>
      <c r="AE15">
        <v>-181988000</v>
      </c>
      <c r="AF15">
        <v>-177622000</v>
      </c>
      <c r="AG15">
        <v>-172998000</v>
      </c>
      <c r="AH15">
        <v>-153517000</v>
      </c>
      <c r="AI15">
        <v>-151787000</v>
      </c>
      <c r="AJ15">
        <v>-150732000</v>
      </c>
    </row>
    <row r="16" spans="1:39" x14ac:dyDescent="0.25">
      <c r="A16" t="s">
        <v>135</v>
      </c>
      <c r="B16">
        <v>-3231248676.0872402</v>
      </c>
      <c r="C16">
        <v>-3198373676.0872402</v>
      </c>
      <c r="D16">
        <v>-3068071676.0872402</v>
      </c>
      <c r="E16">
        <v>-2838729970.1323557</v>
      </c>
      <c r="F16">
        <v>-2757887300.0631609</v>
      </c>
      <c r="G16">
        <v>-2533319222.7636423</v>
      </c>
      <c r="H16">
        <v>-2436690701.4359946</v>
      </c>
      <c r="L16">
        <v>-2773236706.595747</v>
      </c>
      <c r="M16">
        <v>-654124000</v>
      </c>
      <c r="N16">
        <v>-540790000</v>
      </c>
      <c r="O16">
        <v>-643201000</v>
      </c>
      <c r="P16">
        <v>-670136000</v>
      </c>
      <c r="Q16">
        <v>-625557000</v>
      </c>
      <c r="R16">
        <v>-602564000</v>
      </c>
      <c r="S16">
        <v>-349162000</v>
      </c>
      <c r="T16">
        <v>-280867000</v>
      </c>
      <c r="U16">
        <v>-245158000</v>
      </c>
      <c r="V16">
        <v>-217593000</v>
      </c>
      <c r="W16">
        <v>-220254000</v>
      </c>
      <c r="X16">
        <v>-204118000</v>
      </c>
      <c r="Y16">
        <v>-181279000</v>
      </c>
      <c r="Z16">
        <v>-167133000</v>
      </c>
      <c r="AA16">
        <v>-154632000</v>
      </c>
      <c r="AB16">
        <v>-150760000</v>
      </c>
      <c r="AC16">
        <v>-180506000</v>
      </c>
      <c r="AD16">
        <v>-175263000</v>
      </c>
      <c r="AE16">
        <v>-166898000</v>
      </c>
      <c r="AF16">
        <v>-164431000</v>
      </c>
      <c r="AG16">
        <v>-116626000</v>
      </c>
      <c r="AH16">
        <v>-107541000</v>
      </c>
      <c r="AI16">
        <v>-94648000</v>
      </c>
      <c r="AJ16">
        <v>-83758000</v>
      </c>
    </row>
    <row r="17" spans="1:36" x14ac:dyDescent="0.25">
      <c r="A17" t="s">
        <v>136</v>
      </c>
      <c r="B17">
        <v>-4370977364.679369</v>
      </c>
      <c r="C17">
        <v>-4326938364.679369</v>
      </c>
      <c r="D17">
        <v>-3871544364.6793694</v>
      </c>
      <c r="E17">
        <v>-4705221218.3991632</v>
      </c>
      <c r="F17">
        <v>-4129642912.1360149</v>
      </c>
      <c r="G17">
        <v>-4169699818.1977844</v>
      </c>
      <c r="H17">
        <v>-4456833303.1048031</v>
      </c>
      <c r="L17">
        <v>-3399791992.314642</v>
      </c>
      <c r="M17">
        <v>-491032000</v>
      </c>
      <c r="N17">
        <v>-402753000</v>
      </c>
      <c r="O17">
        <v>-424049000</v>
      </c>
      <c r="P17">
        <v>-332748000</v>
      </c>
      <c r="Q17">
        <v>-411070000</v>
      </c>
      <c r="R17">
        <v>-335415000</v>
      </c>
      <c r="S17">
        <v>-269561000</v>
      </c>
      <c r="T17">
        <v>-282580000</v>
      </c>
      <c r="U17">
        <v>-300722000</v>
      </c>
      <c r="V17">
        <v>-300793000</v>
      </c>
      <c r="W17">
        <v>-245835000</v>
      </c>
      <c r="X17">
        <v>-211565000</v>
      </c>
      <c r="Y17">
        <v>-148267000</v>
      </c>
      <c r="Z17">
        <v>-129689000</v>
      </c>
      <c r="AA17">
        <v>-117325000</v>
      </c>
      <c r="AB17">
        <v>-114408000</v>
      </c>
      <c r="AC17">
        <v>-103936000</v>
      </c>
      <c r="AD17">
        <v>-104631000</v>
      </c>
      <c r="AE17">
        <v>-103517000</v>
      </c>
      <c r="AF17">
        <v>-97300000</v>
      </c>
      <c r="AG17">
        <v>-79054000</v>
      </c>
      <c r="AH17">
        <v>-76060000</v>
      </c>
      <c r="AI17">
        <v>-83628000</v>
      </c>
      <c r="AJ17">
        <v>-82603000</v>
      </c>
    </row>
    <row r="18" spans="1:36" x14ac:dyDescent="0.25">
      <c r="A18" t="s">
        <v>137</v>
      </c>
      <c r="B18">
        <v>26854312118.120358</v>
      </c>
      <c r="C18">
        <v>22763332118.120358</v>
      </c>
      <c r="D18">
        <v>20393127118.120358</v>
      </c>
      <c r="E18">
        <v>35302299968.241455</v>
      </c>
      <c r="F18">
        <v>38798407445.134171</v>
      </c>
      <c r="G18">
        <v>56856960274.45694</v>
      </c>
      <c r="H18">
        <v>56460111046.007713</v>
      </c>
      <c r="L18">
        <v>40351396503.915283</v>
      </c>
      <c r="M18">
        <v>15666992000</v>
      </c>
      <c r="N18">
        <v>14192773000</v>
      </c>
      <c r="O18">
        <v>11596268000</v>
      </c>
      <c r="P18">
        <v>10754188000</v>
      </c>
      <c r="Q18">
        <v>5732903000</v>
      </c>
      <c r="R18">
        <v>7150105000</v>
      </c>
      <c r="S18">
        <v>7576393000</v>
      </c>
      <c r="T18">
        <v>7099337000</v>
      </c>
      <c r="U18">
        <v>6661176000</v>
      </c>
      <c r="V18">
        <v>5311183000</v>
      </c>
      <c r="W18">
        <v>4474577000</v>
      </c>
      <c r="X18">
        <v>3818370000</v>
      </c>
      <c r="Y18">
        <v>3536319000</v>
      </c>
      <c r="Z18">
        <v>5545446000</v>
      </c>
      <c r="AA18">
        <v>5892469000</v>
      </c>
      <c r="AB18">
        <v>5654167000</v>
      </c>
      <c r="AC18">
        <v>5524669000</v>
      </c>
      <c r="AD18">
        <v>2821895000</v>
      </c>
      <c r="AE18">
        <v>2034297000</v>
      </c>
      <c r="AF18">
        <v>1935905000</v>
      </c>
      <c r="AG18">
        <v>1316616000</v>
      </c>
      <c r="AH18">
        <v>1021757000</v>
      </c>
      <c r="AI18">
        <v>855833000</v>
      </c>
      <c r="AJ18">
        <v>489676000</v>
      </c>
    </row>
    <row r="19" spans="1:36" x14ac:dyDescent="0.25">
      <c r="A19" t="s">
        <v>138</v>
      </c>
      <c r="B19">
        <v>-22917082278.966682</v>
      </c>
      <c r="C19">
        <v>-21274696278.966682</v>
      </c>
      <c r="D19">
        <v>-19948640278.966682</v>
      </c>
      <c r="E19">
        <v>-28045004858.289536</v>
      </c>
      <c r="F19">
        <v>-28568010831.218613</v>
      </c>
      <c r="G19">
        <v>-35597704371.918564</v>
      </c>
      <c r="H19">
        <v>-35658615837.384293</v>
      </c>
      <c r="L19">
        <v>-29632629596.516041</v>
      </c>
      <c r="M19">
        <v>-9331412000</v>
      </c>
      <c r="N19">
        <v>-8724625000</v>
      </c>
      <c r="O19">
        <v>-7196502000</v>
      </c>
      <c r="P19">
        <v>-6405990000</v>
      </c>
      <c r="Q19">
        <v>-5214099000</v>
      </c>
      <c r="R19">
        <v>-5425153000</v>
      </c>
      <c r="S19">
        <v>-5705428000</v>
      </c>
      <c r="T19">
        <v>-5464926000</v>
      </c>
      <c r="U19">
        <v>-4116701000</v>
      </c>
      <c r="V19">
        <v>-4019853000</v>
      </c>
      <c r="W19">
        <v>-3546363000</v>
      </c>
      <c r="X19">
        <v>-3253702000</v>
      </c>
      <c r="Y19">
        <v>-3792131000</v>
      </c>
      <c r="Z19">
        <v>-5063214000</v>
      </c>
      <c r="AA19">
        <v>-5228220000</v>
      </c>
      <c r="AB19">
        <v>-5153276000</v>
      </c>
      <c r="AC19">
        <v>-4364343000</v>
      </c>
      <c r="AD19">
        <v>-2219961000</v>
      </c>
      <c r="AE19">
        <v>-1746465000</v>
      </c>
      <c r="AF19">
        <v>-1678420000</v>
      </c>
      <c r="AG19">
        <v>-1011648000</v>
      </c>
      <c r="AH19">
        <v>-734615000</v>
      </c>
      <c r="AI19">
        <v>-523415000</v>
      </c>
      <c r="AJ19">
        <v>-285598000</v>
      </c>
    </row>
    <row r="20" spans="1:36" x14ac:dyDescent="0.25">
      <c r="A20" t="s">
        <v>139</v>
      </c>
    </row>
    <row r="21" spans="1:36" x14ac:dyDescent="0.25">
      <c r="A21" t="s">
        <v>140</v>
      </c>
      <c r="B21">
        <v>36750002982.939407</v>
      </c>
      <c r="C21">
        <v>33159437982.939411</v>
      </c>
      <c r="D21">
        <v>31870224982.939411</v>
      </c>
      <c r="E21">
        <v>31641519268.835178</v>
      </c>
      <c r="F21">
        <v>32692398444.51886</v>
      </c>
      <c r="G21">
        <v>42541311065.562363</v>
      </c>
      <c r="H21">
        <v>42068868254.809937</v>
      </c>
      <c r="L21">
        <v>30249354000.908905</v>
      </c>
      <c r="M21">
        <v>12929366000</v>
      </c>
      <c r="N21">
        <v>11268810000</v>
      </c>
      <c r="O21">
        <v>9711206000</v>
      </c>
      <c r="P21">
        <v>9418168000</v>
      </c>
      <c r="Q21">
        <v>4725122000</v>
      </c>
      <c r="R21">
        <v>5934904000</v>
      </c>
      <c r="S21">
        <v>5622368000</v>
      </c>
      <c r="T21">
        <v>5276389000</v>
      </c>
      <c r="U21">
        <v>5369853000</v>
      </c>
      <c r="V21">
        <v>4200932000</v>
      </c>
      <c r="W21">
        <v>3751983000</v>
      </c>
      <c r="X21">
        <v>3177262000</v>
      </c>
      <c r="Y21">
        <v>1900977000</v>
      </c>
      <c r="Z21">
        <v>2426918000</v>
      </c>
      <c r="AA21">
        <v>2488816000</v>
      </c>
      <c r="AB21">
        <v>2225096000</v>
      </c>
      <c r="AC21">
        <v>2563607000</v>
      </c>
      <c r="AD21">
        <v>1834336000</v>
      </c>
      <c r="AE21">
        <v>1320297000</v>
      </c>
      <c r="AF21">
        <v>1284107000</v>
      </c>
      <c r="AG21">
        <v>1160356000</v>
      </c>
      <c r="AH21">
        <v>1087893000</v>
      </c>
      <c r="AI21">
        <v>1057555000</v>
      </c>
      <c r="AJ21">
        <v>810003000</v>
      </c>
    </row>
    <row r="23" spans="1:36" x14ac:dyDescent="0.25">
      <c r="A23" t="s">
        <v>141</v>
      </c>
    </row>
    <row r="24" spans="1:36" x14ac:dyDescent="0.25">
      <c r="A24" t="s">
        <v>142</v>
      </c>
    </row>
    <row r="25" spans="1:36" x14ac:dyDescent="0.25">
      <c r="A25" t="s">
        <v>143</v>
      </c>
      <c r="B25">
        <v>216135681.55556798</v>
      </c>
      <c r="C25">
        <v>113641681.55556798</v>
      </c>
      <c r="D25">
        <v>99290681.55556798</v>
      </c>
      <c r="E25">
        <v>96460225.481848925</v>
      </c>
      <c r="F25">
        <v>98578292.078893408</v>
      </c>
      <c r="G25">
        <v>81294736.555435807</v>
      </c>
      <c r="H25">
        <v>57799098.407554336</v>
      </c>
      <c r="L25">
        <v>22284566.323182996</v>
      </c>
      <c r="M25">
        <v>6865000</v>
      </c>
      <c r="N25">
        <v>14019000</v>
      </c>
      <c r="O25">
        <v>8774000</v>
      </c>
      <c r="P25">
        <v>10599000</v>
      </c>
      <c r="Q25">
        <v>12683000</v>
      </c>
      <c r="R25">
        <v>4774000</v>
      </c>
      <c r="S25">
        <v>10036000</v>
      </c>
      <c r="T25">
        <v>7936000</v>
      </c>
      <c r="U25">
        <v>9663000</v>
      </c>
      <c r="V25">
        <v>10156000</v>
      </c>
      <c r="W25">
        <v>6372000</v>
      </c>
      <c r="X25">
        <v>6379000</v>
      </c>
      <c r="Y25">
        <v>1602000</v>
      </c>
      <c r="Z25">
        <v>2835000</v>
      </c>
      <c r="AA25">
        <v>4798000</v>
      </c>
      <c r="AB25">
        <v>4789000</v>
      </c>
      <c r="AC25">
        <v>5250000</v>
      </c>
      <c r="AD25">
        <v>3665000</v>
      </c>
      <c r="AE25">
        <v>367000</v>
      </c>
      <c r="AF25">
        <v>9302000</v>
      </c>
      <c r="AG25">
        <v>9589000</v>
      </c>
      <c r="AH25">
        <v>9519000</v>
      </c>
      <c r="AI25">
        <v>9478000</v>
      </c>
      <c r="AJ25">
        <v>8737000</v>
      </c>
    </row>
    <row r="26" spans="1:36" x14ac:dyDescent="0.25">
      <c r="A26" t="s">
        <v>144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L26">
        <v>0</v>
      </c>
      <c r="M26">
        <v>0</v>
      </c>
      <c r="P26">
        <v>0</v>
      </c>
    </row>
    <row r="27" spans="1:36" x14ac:dyDescent="0.25">
      <c r="A27" t="s">
        <v>145</v>
      </c>
    </row>
    <row r="28" spans="1:36" x14ac:dyDescent="0.25">
      <c r="A28" t="s">
        <v>146</v>
      </c>
      <c r="B28">
        <v>-247547879.22743106</v>
      </c>
      <c r="C28">
        <v>-134747879.22743106</v>
      </c>
      <c r="D28">
        <v>-67663879.227431044</v>
      </c>
      <c r="E28">
        <v>-21703727.334620737</v>
      </c>
      <c r="F28">
        <v>-19171137.484770976</v>
      </c>
      <c r="G28">
        <v>-38402118.25905966</v>
      </c>
      <c r="H28">
        <v>-2481654.5007543163</v>
      </c>
      <c r="L28">
        <v>53727888.94685325</v>
      </c>
      <c r="M28">
        <v>-553000</v>
      </c>
      <c r="N28">
        <v>-1140000</v>
      </c>
      <c r="O28">
        <v>-6194000</v>
      </c>
      <c r="P28">
        <v>-2820000</v>
      </c>
      <c r="Q28">
        <v>3773000</v>
      </c>
      <c r="R28">
        <v>14726000</v>
      </c>
      <c r="S28">
        <v>15831000</v>
      </c>
      <c r="T28">
        <v>12408000</v>
      </c>
      <c r="U28">
        <v>-16031000</v>
      </c>
      <c r="V28">
        <v>-12033000</v>
      </c>
      <c r="W28">
        <v>-4976000</v>
      </c>
      <c r="X28">
        <v>2325000</v>
      </c>
      <c r="Y28">
        <v>4609000</v>
      </c>
      <c r="Z28">
        <v>1848000</v>
      </c>
      <c r="AA28">
        <v>-8088000</v>
      </c>
      <c r="AB28">
        <v>-8951000</v>
      </c>
      <c r="AC28">
        <v>-452000</v>
      </c>
      <c r="AD28">
        <v>-2368000</v>
      </c>
      <c r="AE28">
        <v>-819000</v>
      </c>
      <c r="AF28">
        <v>9302000</v>
      </c>
      <c r="AG28">
        <v>1036000</v>
      </c>
      <c r="AH28">
        <v>6162000</v>
      </c>
      <c r="AI28">
        <v>12075000</v>
      </c>
      <c r="AJ28">
        <v>213000</v>
      </c>
    </row>
    <row r="29" spans="1:36" x14ac:dyDescent="0.25">
      <c r="A29" t="s">
        <v>147</v>
      </c>
    </row>
    <row r="30" spans="1:36" x14ac:dyDescent="0.25">
      <c r="A30" t="s">
        <v>148</v>
      </c>
    </row>
    <row r="31" spans="1:36" x14ac:dyDescent="0.25">
      <c r="A31" t="s">
        <v>149</v>
      </c>
    </row>
    <row r="32" spans="1:36" x14ac:dyDescent="0.25">
      <c r="A32" t="s">
        <v>150</v>
      </c>
    </row>
    <row r="33" spans="1:36" x14ac:dyDescent="0.25">
      <c r="A33" t="s">
        <v>151</v>
      </c>
      <c r="B33">
        <v>36718590785.267548</v>
      </c>
      <c r="C33">
        <v>33138331785.267551</v>
      </c>
      <c r="D33">
        <v>31901851785.267551</v>
      </c>
      <c r="E33">
        <v>31716275766.982399</v>
      </c>
      <c r="F33">
        <v>32771805599.112976</v>
      </c>
      <c r="G33">
        <v>42584203683.858742</v>
      </c>
      <c r="H33">
        <v>42124185698.716736</v>
      </c>
      <c r="L33">
        <v>30325366456.17894</v>
      </c>
      <c r="M33">
        <v>12935678000</v>
      </c>
      <c r="N33">
        <v>11281689000</v>
      </c>
      <c r="O33">
        <v>9713786000</v>
      </c>
      <c r="P33">
        <v>9425947000</v>
      </c>
      <c r="Q33">
        <v>4741578000</v>
      </c>
      <c r="R33">
        <v>5954404000</v>
      </c>
      <c r="S33">
        <v>5648235000</v>
      </c>
      <c r="T33">
        <v>5296733000</v>
      </c>
      <c r="U33">
        <v>5363485000</v>
      </c>
      <c r="V33">
        <v>4199055000</v>
      </c>
      <c r="W33">
        <v>3753379000</v>
      </c>
      <c r="X33">
        <v>3185966000</v>
      </c>
      <c r="Y33">
        <v>1907188000</v>
      </c>
      <c r="Z33">
        <v>2431601000</v>
      </c>
      <c r="AA33">
        <v>2485526000</v>
      </c>
      <c r="AB33">
        <v>2220934000</v>
      </c>
      <c r="AC33">
        <v>2568405000</v>
      </c>
      <c r="AD33">
        <v>1835633000</v>
      </c>
      <c r="AE33">
        <v>1319845000</v>
      </c>
      <c r="AF33">
        <v>1302711000</v>
      </c>
      <c r="AG33">
        <v>1170981000</v>
      </c>
      <c r="AH33">
        <v>1103574000</v>
      </c>
      <c r="AI33">
        <v>1079108000</v>
      </c>
      <c r="AJ33">
        <v>818953000</v>
      </c>
    </row>
    <row r="35" spans="1:36" x14ac:dyDescent="0.25">
      <c r="A35" t="s">
        <v>152</v>
      </c>
      <c r="B35">
        <v>3362171271.1106148</v>
      </c>
      <c r="C35">
        <v>2564311271.1106148</v>
      </c>
      <c r="D35">
        <v>2063020271.1106145</v>
      </c>
      <c r="E35">
        <v>1225502443.7803454</v>
      </c>
      <c r="F35">
        <v>1630513975.9609702</v>
      </c>
      <c r="G35">
        <v>1668250494.1109214</v>
      </c>
      <c r="H35">
        <v>1990593762.0420554</v>
      </c>
      <c r="L35">
        <v>2439689187.9658813</v>
      </c>
      <c r="M35">
        <v>385038000</v>
      </c>
      <c r="N35">
        <v>631713000</v>
      </c>
      <c r="O35">
        <v>539156000</v>
      </c>
      <c r="P35">
        <v>514051000</v>
      </c>
      <c r="Q35">
        <v>1200099000</v>
      </c>
      <c r="R35">
        <v>1091460000</v>
      </c>
      <c r="S35">
        <v>1067720000</v>
      </c>
      <c r="T35">
        <v>1057589000</v>
      </c>
      <c r="U35">
        <v>733542000</v>
      </c>
      <c r="V35">
        <v>877701000</v>
      </c>
      <c r="W35">
        <v>878477000</v>
      </c>
      <c r="X35">
        <v>985207000</v>
      </c>
      <c r="Y35">
        <v>1223628000</v>
      </c>
      <c r="Z35">
        <v>1211176000</v>
      </c>
      <c r="AA35">
        <v>1086241000</v>
      </c>
      <c r="AB35">
        <v>876479000</v>
      </c>
      <c r="AC35">
        <v>474687000</v>
      </c>
      <c r="AD35">
        <v>259805000</v>
      </c>
      <c r="AE35">
        <v>227865000</v>
      </c>
      <c r="AF35">
        <v>245542000</v>
      </c>
      <c r="AG35">
        <v>257623000</v>
      </c>
      <c r="AH35">
        <v>179801000</v>
      </c>
      <c r="AI35">
        <v>117737000</v>
      </c>
      <c r="AJ35">
        <v>66361000</v>
      </c>
    </row>
    <row r="36" spans="1:36" x14ac:dyDescent="0.25">
      <c r="A36" t="s">
        <v>153</v>
      </c>
      <c r="B36">
        <v>-11573420863.403549</v>
      </c>
      <c r="C36">
        <v>-8961175863.4035492</v>
      </c>
      <c r="D36">
        <v>-8138770863.4035501</v>
      </c>
      <c r="E36">
        <v>-11625725531.910789</v>
      </c>
      <c r="F36">
        <v>-10084118164.711176</v>
      </c>
      <c r="G36">
        <v>-15863965559.456982</v>
      </c>
      <c r="H36">
        <v>-14880239568.080311</v>
      </c>
      <c r="L36">
        <v>-9751680067.0707436</v>
      </c>
      <c r="M36">
        <v>-3879092000</v>
      </c>
      <c r="N36">
        <v>-3587840000</v>
      </c>
      <c r="O36">
        <v>-3014061000</v>
      </c>
      <c r="P36">
        <v>-2743575000</v>
      </c>
      <c r="Q36">
        <v>-1216262000</v>
      </c>
      <c r="R36">
        <v>-1531526000</v>
      </c>
      <c r="S36">
        <v>-1478335000</v>
      </c>
      <c r="T36">
        <v>-1469171000</v>
      </c>
      <c r="U36">
        <v>-1396311000</v>
      </c>
      <c r="V36">
        <v>-1099502000</v>
      </c>
      <c r="W36">
        <v>-1002841000</v>
      </c>
      <c r="X36">
        <v>-862642000</v>
      </c>
      <c r="Y36">
        <v>-807164000</v>
      </c>
      <c r="Z36">
        <v>-996377000</v>
      </c>
      <c r="AA36">
        <v>-989437000</v>
      </c>
      <c r="AB36">
        <v>-855647000</v>
      </c>
      <c r="AC36">
        <v>-719729000</v>
      </c>
      <c r="AD36">
        <v>-442802000</v>
      </c>
      <c r="AE36">
        <v>-373711000</v>
      </c>
      <c r="AF36">
        <v>-383291000</v>
      </c>
      <c r="AG36">
        <v>-434362000</v>
      </c>
      <c r="AH36">
        <v>-342006000</v>
      </c>
      <c r="AI36">
        <v>-268332000</v>
      </c>
      <c r="AJ36">
        <v>-151291000</v>
      </c>
    </row>
    <row r="37" spans="1:36" x14ac:dyDescent="0.25">
      <c r="A37" t="s">
        <v>154</v>
      </c>
      <c r="B37">
        <v>-19938267612.333542</v>
      </c>
      <c r="C37">
        <v>-18580464612.333542</v>
      </c>
      <c r="D37">
        <v>-16182005612.33354</v>
      </c>
      <c r="E37">
        <v>-16570162908.819448</v>
      </c>
      <c r="F37">
        <v>-15628720025.502384</v>
      </c>
      <c r="G37">
        <v>-17972242598.880444</v>
      </c>
      <c r="H37">
        <v>-17089741625.397181</v>
      </c>
      <c r="L37">
        <v>-24550040367.622536</v>
      </c>
    </row>
    <row r="38" spans="1:36" x14ac:dyDescent="0.25">
      <c r="A38" t="s">
        <v>155</v>
      </c>
      <c r="B38">
        <v>8569073580.6410751</v>
      </c>
      <c r="C38">
        <v>8161002580.6410751</v>
      </c>
      <c r="D38">
        <v>9644095580.6410751</v>
      </c>
      <c r="E38">
        <v>4745889770.032505</v>
      </c>
      <c r="F38">
        <v>8689481384.8603802</v>
      </c>
      <c r="G38">
        <v>10416246019.632229</v>
      </c>
      <c r="H38">
        <v>12144798267.281294</v>
      </c>
      <c r="L38">
        <v>-1536664790.5484624</v>
      </c>
      <c r="M38">
        <v>9441624000</v>
      </c>
      <c r="N38">
        <v>8325562000</v>
      </c>
      <c r="O38">
        <v>7238881000</v>
      </c>
      <c r="P38">
        <v>7196423000</v>
      </c>
      <c r="Q38">
        <v>4725415000</v>
      </c>
      <c r="R38">
        <v>5514338000</v>
      </c>
      <c r="S38">
        <v>5237620000</v>
      </c>
      <c r="T38">
        <v>4885151000</v>
      </c>
      <c r="U38">
        <v>4700716000</v>
      </c>
      <c r="V38">
        <v>3977254000</v>
      </c>
      <c r="W38">
        <v>3629015000</v>
      </c>
      <c r="X38">
        <v>3308531000</v>
      </c>
      <c r="Y38">
        <v>2323652000</v>
      </c>
      <c r="Z38">
        <v>2646400000</v>
      </c>
      <c r="AA38">
        <v>2582330000</v>
      </c>
      <c r="AB38">
        <v>2241766000</v>
      </c>
      <c r="AC38">
        <v>2323363000</v>
      </c>
      <c r="AD38">
        <v>1652636000</v>
      </c>
      <c r="AE38">
        <v>1173999000</v>
      </c>
      <c r="AF38">
        <v>1164962000</v>
      </c>
      <c r="AG38">
        <v>994242000</v>
      </c>
      <c r="AH38">
        <v>941369000</v>
      </c>
      <c r="AI38">
        <v>928513000</v>
      </c>
      <c r="AJ38">
        <v>734023000</v>
      </c>
    </row>
    <row r="40" spans="1:36" x14ac:dyDescent="0.25">
      <c r="A40" t="s">
        <v>156</v>
      </c>
      <c r="B40">
        <v>10678614998.610569</v>
      </c>
      <c r="C40">
        <v>10047819998.610569</v>
      </c>
      <c r="D40">
        <v>8116848998.610568</v>
      </c>
      <c r="E40">
        <v>9805502416.4940472</v>
      </c>
      <c r="F40">
        <v>6539581766.2698679</v>
      </c>
      <c r="G40">
        <v>5254697284.1395607</v>
      </c>
      <c r="H40">
        <v>277328098.99238235</v>
      </c>
      <c r="L40">
        <v>3540084194.0754447</v>
      </c>
      <c r="M40">
        <v>285459000</v>
      </c>
      <c r="N40">
        <v>64546000</v>
      </c>
      <c r="O40">
        <v>336574000</v>
      </c>
      <c r="P40">
        <v>-69082000</v>
      </c>
      <c r="Q40">
        <v>-127182000</v>
      </c>
      <c r="R40">
        <v>-366999000</v>
      </c>
      <c r="S40">
        <v>-467741000</v>
      </c>
      <c r="T40">
        <v>-423885000</v>
      </c>
      <c r="U40">
        <v>-328452000</v>
      </c>
      <c r="V40">
        <v>-111934000</v>
      </c>
      <c r="W40">
        <v>14311000</v>
      </c>
      <c r="X40">
        <v>44142000</v>
      </c>
      <c r="Y40">
        <v>239095000</v>
      </c>
      <c r="Z40">
        <v>66465000</v>
      </c>
      <c r="AA40">
        <v>15236000</v>
      </c>
      <c r="AB40">
        <v>77581000</v>
      </c>
      <c r="AC40">
        <v>35825000</v>
      </c>
      <c r="AD40">
        <v>120522000</v>
      </c>
      <c r="AE40">
        <v>209625000</v>
      </c>
      <c r="AF40">
        <v>211018000</v>
      </c>
      <c r="AG40">
        <v>164150000</v>
      </c>
      <c r="AH40">
        <v>162500000</v>
      </c>
      <c r="AI40">
        <v>98607000</v>
      </c>
      <c r="AJ40">
        <v>61178000</v>
      </c>
    </row>
    <row r="41" spans="1:36" x14ac:dyDescent="0.25">
      <c r="A41" t="s">
        <v>157</v>
      </c>
      <c r="B41">
        <v>-157577927.67502934</v>
      </c>
      <c r="C41">
        <v>-148938927.67502934</v>
      </c>
      <c r="D41">
        <v>-63087927.675029337</v>
      </c>
      <c r="E41">
        <v>167803582.94259709</v>
      </c>
      <c r="F41">
        <v>665974906.75253844</v>
      </c>
      <c r="G41">
        <v>-1908607629.9160113</v>
      </c>
      <c r="H41">
        <v>-1902222593.6376674</v>
      </c>
      <c r="L41">
        <v>-4843006.1364540868</v>
      </c>
      <c r="M41">
        <v>-3362000</v>
      </c>
      <c r="N41">
        <v>-3328000</v>
      </c>
      <c r="O41">
        <v>-3243000</v>
      </c>
      <c r="P41">
        <v>-2401000</v>
      </c>
      <c r="Q41">
        <v>-161000</v>
      </c>
      <c r="R41">
        <v>-1592000</v>
      </c>
      <c r="S41">
        <v>-3148000</v>
      </c>
      <c r="T41">
        <v>-4635000</v>
      </c>
      <c r="U41">
        <v>-15024000</v>
      </c>
      <c r="V41">
        <v>-15687000</v>
      </c>
      <c r="W41">
        <v>-15884000</v>
      </c>
      <c r="X41">
        <v>-14868000</v>
      </c>
      <c r="Y41">
        <v>-7954000</v>
      </c>
      <c r="Z41">
        <v>-10391000</v>
      </c>
      <c r="AA41">
        <v>-9522000</v>
      </c>
      <c r="AB41">
        <v>-11022000</v>
      </c>
      <c r="AC41">
        <v>-8909000</v>
      </c>
      <c r="AD41">
        <v>-3999000</v>
      </c>
      <c r="AE41">
        <v>-2932000</v>
      </c>
      <c r="AF41">
        <v>-2036000</v>
      </c>
      <c r="AG41">
        <v>-1720000</v>
      </c>
      <c r="AH41">
        <v>-2107000</v>
      </c>
      <c r="AI41">
        <v>-2608000</v>
      </c>
      <c r="AJ41">
        <v>-1548000</v>
      </c>
    </row>
    <row r="42" spans="1:36" x14ac:dyDescent="0.25">
      <c r="A42" t="s">
        <v>158</v>
      </c>
      <c r="B42">
        <v>10836192926.285599</v>
      </c>
      <c r="C42">
        <v>10196758926.285599</v>
      </c>
      <c r="D42">
        <v>8179936926.2855978</v>
      </c>
      <c r="E42">
        <v>9637698833.5514488</v>
      </c>
      <c r="F42">
        <v>5873606859.5173302</v>
      </c>
      <c r="G42">
        <v>7163304914.0555725</v>
      </c>
      <c r="H42">
        <v>2179550692.6300497</v>
      </c>
      <c r="L42">
        <v>3544927200.2118983</v>
      </c>
      <c r="M42">
        <v>288821000</v>
      </c>
      <c r="N42">
        <v>67874000</v>
      </c>
      <c r="O42">
        <v>339817000</v>
      </c>
      <c r="P42">
        <v>-66681000</v>
      </c>
      <c r="Q42">
        <v>-127021000</v>
      </c>
      <c r="R42">
        <v>-365407000</v>
      </c>
      <c r="S42">
        <v>-464593000</v>
      </c>
      <c r="T42">
        <v>-419250000</v>
      </c>
      <c r="U42">
        <v>-313428000</v>
      </c>
      <c r="V42">
        <v>-96247000</v>
      </c>
      <c r="W42">
        <v>30195000</v>
      </c>
      <c r="X42">
        <v>59010000</v>
      </c>
      <c r="Y42">
        <v>247049000</v>
      </c>
      <c r="Z42">
        <v>76856000</v>
      </c>
      <c r="AA42">
        <v>24758000</v>
      </c>
      <c r="AB42">
        <v>88603000</v>
      </c>
      <c r="AC42">
        <v>44734000</v>
      </c>
      <c r="AD42">
        <v>124521000</v>
      </c>
      <c r="AE42">
        <v>212557000</v>
      </c>
      <c r="AF42">
        <v>213054000</v>
      </c>
      <c r="AG42">
        <v>165870000</v>
      </c>
      <c r="AH42">
        <v>164607000</v>
      </c>
      <c r="AI42">
        <v>101215000</v>
      </c>
      <c r="AJ42">
        <v>62726000</v>
      </c>
    </row>
    <row r="43" spans="1:36" x14ac:dyDescent="0.25">
      <c r="A43" t="s">
        <v>159</v>
      </c>
      <c r="B43">
        <v>19247688579.251644</v>
      </c>
      <c r="C43">
        <v>18208822579.251644</v>
      </c>
      <c r="D43">
        <v>17760944579.251644</v>
      </c>
      <c r="E43">
        <v>14551392186.526552</v>
      </c>
      <c r="F43">
        <v>15229063151.130249</v>
      </c>
      <c r="G43">
        <v>15670943303.771791</v>
      </c>
      <c r="H43">
        <v>12422126366.273678</v>
      </c>
      <c r="L43">
        <v>2003419403.5269821</v>
      </c>
      <c r="M43">
        <v>9727083000</v>
      </c>
      <c r="N43">
        <v>8390108000</v>
      </c>
      <c r="O43">
        <v>7575455000</v>
      </c>
      <c r="P43">
        <v>7127341000</v>
      </c>
      <c r="Q43">
        <v>4598233000</v>
      </c>
      <c r="R43">
        <v>5147339000</v>
      </c>
      <c r="S43">
        <v>4769879000</v>
      </c>
      <c r="T43">
        <v>4461266000</v>
      </c>
      <c r="U43">
        <v>4372264000</v>
      </c>
      <c r="V43">
        <v>3865320000</v>
      </c>
      <c r="W43">
        <v>3643326000</v>
      </c>
      <c r="X43">
        <v>3352673000</v>
      </c>
      <c r="Y43">
        <v>2562747000</v>
      </c>
      <c r="Z43">
        <v>2712865000</v>
      </c>
      <c r="AA43">
        <v>2597566000</v>
      </c>
      <c r="AB43">
        <v>2319347000</v>
      </c>
      <c r="AC43">
        <v>2359188000</v>
      </c>
      <c r="AD43">
        <v>1773158000</v>
      </c>
      <c r="AE43">
        <v>1383624000</v>
      </c>
      <c r="AF43">
        <v>1375980000</v>
      </c>
      <c r="AG43">
        <v>1158392000</v>
      </c>
      <c r="AH43">
        <v>1103869000</v>
      </c>
      <c r="AI43">
        <v>1027120000</v>
      </c>
      <c r="AJ43">
        <v>795201000</v>
      </c>
    </row>
    <row r="44" spans="1:36" x14ac:dyDescent="0.25">
      <c r="A44" t="s">
        <v>160</v>
      </c>
    </row>
    <row r="46" spans="1:36" x14ac:dyDescent="0.25">
      <c r="A46" t="s">
        <v>161</v>
      </c>
      <c r="B46">
        <v>19247688579.251644</v>
      </c>
      <c r="C46">
        <v>18208822579.251644</v>
      </c>
      <c r="D46">
        <v>17760944579.251644</v>
      </c>
      <c r="E46">
        <v>14551392186.526552</v>
      </c>
      <c r="F46">
        <v>15229063151.130249</v>
      </c>
      <c r="G46">
        <v>15670943303.771791</v>
      </c>
      <c r="H46">
        <v>12422126366.273678</v>
      </c>
      <c r="L46">
        <v>2003419403.5269821</v>
      </c>
      <c r="M46">
        <v>9727083000</v>
      </c>
      <c r="N46">
        <v>8390108000</v>
      </c>
      <c r="O46">
        <v>7575455000</v>
      </c>
      <c r="P46">
        <v>7127341000</v>
      </c>
      <c r="Q46">
        <v>4598233000</v>
      </c>
      <c r="R46">
        <v>5147339000</v>
      </c>
      <c r="S46">
        <v>4769879000</v>
      </c>
      <c r="T46">
        <v>4461266000</v>
      </c>
      <c r="U46">
        <v>4372264000</v>
      </c>
      <c r="V46">
        <v>3865320000</v>
      </c>
      <c r="W46">
        <v>3643326000</v>
      </c>
      <c r="X46">
        <v>3352673000</v>
      </c>
      <c r="Y46">
        <v>2562747000</v>
      </c>
      <c r="Z46">
        <v>2712865000</v>
      </c>
      <c r="AA46">
        <v>2597566000</v>
      </c>
      <c r="AB46">
        <v>2319347000</v>
      </c>
      <c r="AC46">
        <v>2359188000</v>
      </c>
      <c r="AD46">
        <v>1773158000</v>
      </c>
      <c r="AE46">
        <v>1383624000</v>
      </c>
      <c r="AF46">
        <v>1375980000</v>
      </c>
      <c r="AG46">
        <v>1158392000</v>
      </c>
      <c r="AH46">
        <v>1103869000</v>
      </c>
      <c r="AI46">
        <v>1027120000</v>
      </c>
      <c r="AJ46">
        <v>795201000</v>
      </c>
    </row>
    <row r="47" spans="1:36" x14ac:dyDescent="0.25">
      <c r="A47" t="s">
        <v>117</v>
      </c>
      <c r="B47">
        <v>123651811.11173195</v>
      </c>
      <c r="C47">
        <v>2816811.1117319465</v>
      </c>
      <c r="D47">
        <v>-88700188.888268054</v>
      </c>
      <c r="E47">
        <v>-33000582.906796858</v>
      </c>
      <c r="F47">
        <v>-48242385.901168853</v>
      </c>
      <c r="G47">
        <v>-75827170.093745023</v>
      </c>
      <c r="H47">
        <v>141147454.10590228</v>
      </c>
      <c r="L47">
        <v>-156077874.97983196</v>
      </c>
      <c r="M47">
        <v>-54472000</v>
      </c>
      <c r="N47">
        <v>-37583000</v>
      </c>
      <c r="O47">
        <v>-16847000</v>
      </c>
      <c r="P47">
        <v>-3222000</v>
      </c>
      <c r="Q47">
        <v>-3409000</v>
      </c>
      <c r="R47">
        <v>1381000</v>
      </c>
      <c r="S47">
        <v>7059000</v>
      </c>
      <c r="T47">
        <v>12160000</v>
      </c>
      <c r="U47">
        <v>18384000</v>
      </c>
      <c r="V47">
        <v>16194000</v>
      </c>
      <c r="W47">
        <v>12038000</v>
      </c>
      <c r="X47">
        <v>12226000</v>
      </c>
      <c r="Y47">
        <v>5048000</v>
      </c>
      <c r="Z47">
        <v>3517000</v>
      </c>
      <c r="AA47">
        <v>1434000</v>
      </c>
      <c r="AB47">
        <v>1150000</v>
      </c>
      <c r="AC47">
        <v>46000</v>
      </c>
      <c r="AD47">
        <v>40000</v>
      </c>
      <c r="AE47">
        <v>65000</v>
      </c>
      <c r="AF47">
        <v>79000</v>
      </c>
      <c r="AG47">
        <v>197000</v>
      </c>
      <c r="AH47">
        <v>112000</v>
      </c>
      <c r="AI47">
        <v>139000</v>
      </c>
      <c r="AJ47">
        <v>10000</v>
      </c>
    </row>
    <row r="48" spans="1:36" x14ac:dyDescent="0.25">
      <c r="A48" t="s">
        <v>162</v>
      </c>
      <c r="B48">
        <v>19124036768.139912</v>
      </c>
      <c r="C48">
        <v>18206005768.139912</v>
      </c>
      <c r="D48">
        <v>17849644768.139912</v>
      </c>
      <c r="E48">
        <v>14584392769.43335</v>
      </c>
      <c r="F48">
        <v>15277305537.03142</v>
      </c>
      <c r="G48">
        <v>15746770473.865538</v>
      </c>
      <c r="H48">
        <v>12280978912.167776</v>
      </c>
      <c r="L48">
        <v>2159497278.506814</v>
      </c>
      <c r="M48">
        <v>9781555000</v>
      </c>
      <c r="N48">
        <v>8427691000</v>
      </c>
      <c r="O48">
        <v>7592302000</v>
      </c>
      <c r="P48">
        <v>7130563000</v>
      </c>
      <c r="Q48">
        <v>4601642000</v>
      </c>
      <c r="R48">
        <v>5145958000</v>
      </c>
      <c r="S48">
        <v>4762820000</v>
      </c>
      <c r="T48">
        <v>4449106000</v>
      </c>
      <c r="U48">
        <v>4353880000</v>
      </c>
      <c r="V48">
        <v>3849126000</v>
      </c>
      <c r="W48">
        <v>3631288000</v>
      </c>
      <c r="X48">
        <v>3340447000</v>
      </c>
      <c r="Y48">
        <v>2557699000</v>
      </c>
      <c r="Z48">
        <v>2709348000</v>
      </c>
      <c r="AA48">
        <v>2596132000</v>
      </c>
      <c r="AB48">
        <v>2318197000</v>
      </c>
      <c r="AC48">
        <v>2359142000</v>
      </c>
      <c r="AD48">
        <v>1773118000</v>
      </c>
      <c r="AE48">
        <v>1383559000</v>
      </c>
      <c r="AF48">
        <v>1375901000</v>
      </c>
      <c r="AG48">
        <v>1158195000</v>
      </c>
      <c r="AH48">
        <v>1103757000</v>
      </c>
      <c r="AI48">
        <v>1026981000</v>
      </c>
      <c r="AJ48">
        <v>795191000</v>
      </c>
    </row>
    <row r="50" spans="1:36" x14ac:dyDescent="0.25">
      <c r="A50" t="s">
        <v>163</v>
      </c>
      <c r="B50">
        <v>4187340004.4625726</v>
      </c>
      <c r="C50">
        <v>4081345072.5238581</v>
      </c>
      <c r="D50">
        <v>3849696004.4625726</v>
      </c>
      <c r="E50">
        <v>4699440322.2060814</v>
      </c>
      <c r="F50">
        <v>5491115952.8467865</v>
      </c>
      <c r="G50">
        <v>5853840083.4441195</v>
      </c>
      <c r="H50">
        <v>5731026964.1131659</v>
      </c>
      <c r="L50">
        <v>4120060710.1668296</v>
      </c>
      <c r="M50">
        <v>541997000</v>
      </c>
      <c r="N50">
        <v>505463000</v>
      </c>
      <c r="O50">
        <v>466273000</v>
      </c>
      <c r="P50">
        <v>432191000</v>
      </c>
      <c r="Q50">
        <v>378138000</v>
      </c>
      <c r="R50">
        <v>344580000</v>
      </c>
      <c r="S50">
        <v>316359000</v>
      </c>
      <c r="T50">
        <v>285498000</v>
      </c>
      <c r="U50">
        <v>287099000</v>
      </c>
      <c r="V50">
        <v>271276000</v>
      </c>
      <c r="W50">
        <v>255982000</v>
      </c>
      <c r="X50">
        <v>241216000</v>
      </c>
      <c r="Y50">
        <v>213506000</v>
      </c>
      <c r="Z50">
        <v>195541000</v>
      </c>
      <c r="AA50">
        <v>182464000</v>
      </c>
      <c r="AB50">
        <v>171391000</v>
      </c>
      <c r="AC50">
        <v>161529000</v>
      </c>
      <c r="AD50">
        <v>152637000</v>
      </c>
      <c r="AE50">
        <v>142723000</v>
      </c>
      <c r="AF50">
        <v>132625000</v>
      </c>
      <c r="AG50">
        <v>123952000</v>
      </c>
      <c r="AH50">
        <v>117409000</v>
      </c>
      <c r="AI50">
        <v>113803000</v>
      </c>
      <c r="AJ50">
        <v>110160000</v>
      </c>
    </row>
  </sheetData>
  <pageMargins left="0.7" right="0.7" top="0.75" bottom="0.75" header="0.3" footer="0.3"/>
  <ignoredErrors>
    <ignoredError sqref="A1:AM5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48"/>
  <sheetViews>
    <sheetView topLeftCell="A34" zoomScale="85" zoomScaleNormal="85" workbookViewId="0">
      <selection activeCell="C30" sqref="C30"/>
    </sheetView>
  </sheetViews>
  <sheetFormatPr defaultRowHeight="15.75" x14ac:dyDescent="0.25"/>
  <cols>
    <col min="1" max="1" width="132.375" bestFit="1" customWidth="1"/>
    <col min="2" max="39" width="20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121</v>
      </c>
    </row>
    <row r="2" spans="1:39" x14ac:dyDescent="0.25">
      <c r="A2" s="15"/>
      <c r="B2" s="2">
        <f>B4+B5+B28+C51</f>
        <v>13635205000</v>
      </c>
    </row>
    <row r="3" spans="1:39" ht="18.75" x14ac:dyDescent="0.3">
      <c r="A3" s="30" t="s">
        <v>164</v>
      </c>
      <c r="B3" s="31">
        <v>13635205000</v>
      </c>
      <c r="C3">
        <v>4482282205.9166956</v>
      </c>
      <c r="D3">
        <v>24988569050.604385</v>
      </c>
      <c r="E3">
        <v>1120157212.1718342</v>
      </c>
      <c r="F3">
        <v>-2564611000</v>
      </c>
      <c r="G3">
        <v>-4350493589.659152</v>
      </c>
      <c r="H3">
        <v>14107659802.793764</v>
      </c>
      <c r="I3">
        <v>4768389590.0695133</v>
      </c>
      <c r="J3">
        <v>36519857.861673184</v>
      </c>
      <c r="K3">
        <v>5564192467.3634138</v>
      </c>
      <c r="L3">
        <v>20289205681.867077</v>
      </c>
      <c r="M3">
        <v>558672000</v>
      </c>
      <c r="N3">
        <v>392694000</v>
      </c>
      <c r="O3">
        <v>-1047339000</v>
      </c>
      <c r="P3">
        <v>2432551000</v>
      </c>
      <c r="Q3">
        <v>-654021000</v>
      </c>
      <c r="R3">
        <v>-740368000</v>
      </c>
      <c r="S3">
        <v>-634809000</v>
      </c>
      <c r="T3">
        <v>1718600000</v>
      </c>
      <c r="U3">
        <v>-666290000</v>
      </c>
      <c r="V3">
        <v>-1211607000</v>
      </c>
      <c r="W3">
        <v>-716505000</v>
      </c>
      <c r="X3">
        <v>976852000</v>
      </c>
      <c r="Y3">
        <v>-1585990000</v>
      </c>
      <c r="Z3">
        <v>-1330169000</v>
      </c>
      <c r="AA3">
        <v>-394155000</v>
      </c>
      <c r="AB3">
        <v>272200000</v>
      </c>
      <c r="AC3">
        <v>-912972000</v>
      </c>
      <c r="AD3">
        <v>-529020000</v>
      </c>
      <c r="AE3">
        <v>-605029000</v>
      </c>
      <c r="AF3">
        <v>662532000</v>
      </c>
      <c r="AG3">
        <v>-399962000</v>
      </c>
      <c r="AH3">
        <v>-185127000</v>
      </c>
      <c r="AI3">
        <v>-146045000</v>
      </c>
      <c r="AJ3">
        <v>980527000</v>
      </c>
      <c r="AK3">
        <v>504197000</v>
      </c>
      <c r="AL3">
        <v>118409000</v>
      </c>
      <c r="AM3">
        <v>-199860000</v>
      </c>
    </row>
    <row r="4" spans="1:39" x14ac:dyDescent="0.25">
      <c r="A4" s="32" t="s">
        <v>161</v>
      </c>
      <c r="B4" s="16">
        <v>6410609000</v>
      </c>
      <c r="C4">
        <v>2261643862.9670119</v>
      </c>
      <c r="D4">
        <v>17760944579.251644</v>
      </c>
      <c r="E4">
        <v>7531981334.0524759</v>
      </c>
      <c r="F4">
        <v>4923865000</v>
      </c>
      <c r="G4">
        <v>1813767584.6907797</v>
      </c>
      <c r="H4">
        <v>12422125199.534374</v>
      </c>
      <c r="I4">
        <v>5402715513.7996016</v>
      </c>
      <c r="J4">
        <v>2116928215.1434278</v>
      </c>
      <c r="K4">
        <v>-1435044413.064918</v>
      </c>
      <c r="L4">
        <v>2003419403.5269821</v>
      </c>
      <c r="M4">
        <v>5735234000</v>
      </c>
      <c r="N4">
        <v>3796811000</v>
      </c>
      <c r="O4">
        <v>1676941000</v>
      </c>
      <c r="P4">
        <v>7127341000</v>
      </c>
      <c r="Q4">
        <v>3135492000</v>
      </c>
      <c r="R4">
        <v>2534044000</v>
      </c>
      <c r="S4">
        <v>1228827000</v>
      </c>
      <c r="T4">
        <v>4461266000</v>
      </c>
      <c r="U4">
        <v>2998525000</v>
      </c>
      <c r="V4">
        <v>1847971000</v>
      </c>
      <c r="W4">
        <v>920214000</v>
      </c>
      <c r="X4">
        <v>3352673000</v>
      </c>
      <c r="Y4">
        <v>1978934000</v>
      </c>
      <c r="Z4">
        <v>1335324000</v>
      </c>
      <c r="AA4">
        <v>629561000</v>
      </c>
      <c r="AB4">
        <v>2319347000</v>
      </c>
      <c r="AC4">
        <v>1735534000</v>
      </c>
      <c r="AD4">
        <v>941806000</v>
      </c>
      <c r="AE4">
        <v>351342000</v>
      </c>
      <c r="AF4">
        <v>1375980000</v>
      </c>
      <c r="AG4">
        <v>752326000</v>
      </c>
      <c r="AH4">
        <v>544628000</v>
      </c>
      <c r="AI4">
        <v>343698000</v>
      </c>
      <c r="AJ4">
        <v>795201000</v>
      </c>
      <c r="AK4">
        <v>389135000</v>
      </c>
      <c r="AL4">
        <v>235960000</v>
      </c>
      <c r="AM4">
        <v>111780000</v>
      </c>
    </row>
    <row r="5" spans="1:39" x14ac:dyDescent="0.25">
      <c r="A5" s="32" t="s">
        <v>165</v>
      </c>
      <c r="B5" s="16">
        <v>2321452000</v>
      </c>
      <c r="C5">
        <v>1734206359.9903882</v>
      </c>
      <c r="D5">
        <v>24689838285.809544</v>
      </c>
      <c r="E5">
        <v>5923065444.2909403</v>
      </c>
      <c r="F5">
        <v>2892834000</v>
      </c>
      <c r="G5">
        <v>-855186964.42943251</v>
      </c>
      <c r="H5">
        <v>25359399637.462517</v>
      </c>
      <c r="I5">
        <v>16154061136.052349</v>
      </c>
      <c r="J5">
        <v>16588289900.422113</v>
      </c>
      <c r="K5">
        <v>4720692163.1385355</v>
      </c>
      <c r="L5">
        <v>28274669205.616924</v>
      </c>
      <c r="M5">
        <v>3643435000</v>
      </c>
      <c r="N5">
        <v>2962494000</v>
      </c>
      <c r="O5">
        <v>915913000</v>
      </c>
      <c r="P5">
        <v>6098771000</v>
      </c>
      <c r="Q5">
        <v>1613088000</v>
      </c>
      <c r="R5">
        <v>1377453000</v>
      </c>
      <c r="S5">
        <v>696024000</v>
      </c>
      <c r="T5">
        <v>3465308000</v>
      </c>
      <c r="U5">
        <v>2067065000</v>
      </c>
      <c r="V5">
        <v>1071824000</v>
      </c>
      <c r="W5">
        <v>602463000</v>
      </c>
      <c r="X5">
        <v>1924377000</v>
      </c>
      <c r="Y5">
        <v>824025000</v>
      </c>
      <c r="Z5">
        <v>663400000</v>
      </c>
      <c r="AA5">
        <v>403871000</v>
      </c>
      <c r="AB5">
        <v>1907656000</v>
      </c>
      <c r="AC5">
        <v>810898000</v>
      </c>
      <c r="AD5">
        <v>440912000</v>
      </c>
      <c r="AE5">
        <v>142851000</v>
      </c>
      <c r="AF5">
        <v>357785000</v>
      </c>
      <c r="AG5">
        <v>-112415000</v>
      </c>
      <c r="AH5">
        <v>-135769000</v>
      </c>
      <c r="AI5">
        <v>-177708000</v>
      </c>
      <c r="AJ5">
        <v>677591000</v>
      </c>
      <c r="AK5">
        <v>128276000</v>
      </c>
      <c r="AL5">
        <v>142732000</v>
      </c>
      <c r="AM5">
        <v>17986000</v>
      </c>
    </row>
    <row r="6" spans="1:39" x14ac:dyDescent="0.25">
      <c r="A6" s="10" t="s">
        <v>166</v>
      </c>
      <c r="B6" s="11">
        <v>2245875000</v>
      </c>
      <c r="C6">
        <v>1241510439.8566346</v>
      </c>
      <c r="D6">
        <v>3849696004.4625726</v>
      </c>
      <c r="E6">
        <v>2782118236.4220796</v>
      </c>
      <c r="F6">
        <v>1908231000</v>
      </c>
      <c r="G6">
        <v>1009861371.7953491</v>
      </c>
      <c r="H6">
        <v>5731026964.1131659</v>
      </c>
      <c r="I6">
        <v>3813704878.329164</v>
      </c>
      <c r="J6">
        <v>2148142011.2663794</v>
      </c>
      <c r="K6">
        <v>887048252.46439552</v>
      </c>
      <c r="L6">
        <v>4120060710.1668296</v>
      </c>
      <c r="M6">
        <v>414921000</v>
      </c>
      <c r="N6">
        <v>268323000</v>
      </c>
      <c r="O6">
        <v>130834000</v>
      </c>
      <c r="P6">
        <v>432191000</v>
      </c>
      <c r="Q6">
        <v>305115000</v>
      </c>
      <c r="R6">
        <v>195051000</v>
      </c>
      <c r="S6">
        <v>96752000</v>
      </c>
      <c r="T6">
        <v>285498000</v>
      </c>
      <c r="U6">
        <v>212475000</v>
      </c>
      <c r="V6">
        <v>135969000</v>
      </c>
      <c r="W6">
        <v>65891000</v>
      </c>
      <c r="X6">
        <v>241216000</v>
      </c>
      <c r="Y6">
        <v>166592000</v>
      </c>
      <c r="Z6">
        <v>105909000</v>
      </c>
      <c r="AA6">
        <v>51125000</v>
      </c>
      <c r="AB6">
        <v>171391000</v>
      </c>
      <c r="AC6">
        <v>124477000</v>
      </c>
      <c r="AD6">
        <v>81759000</v>
      </c>
      <c r="AE6">
        <v>40052000</v>
      </c>
      <c r="AF6">
        <v>132625000</v>
      </c>
      <c r="AG6">
        <v>95573000</v>
      </c>
      <c r="AH6">
        <v>61747000</v>
      </c>
      <c r="AI6">
        <v>29954000</v>
      </c>
      <c r="AJ6">
        <v>110160000</v>
      </c>
      <c r="AK6">
        <v>81781000</v>
      </c>
      <c r="AL6">
        <v>54498000</v>
      </c>
      <c r="AM6">
        <v>26311000</v>
      </c>
    </row>
    <row r="7" spans="1:39" x14ac:dyDescent="0.25">
      <c r="A7" s="10" t="s">
        <v>167</v>
      </c>
      <c r="B7" s="11">
        <v>132964000</v>
      </c>
      <c r="C7">
        <v>43593144.089566082</v>
      </c>
      <c r="D7">
        <v>-155933541.31232423</v>
      </c>
      <c r="E7">
        <v>-63162667.503246039</v>
      </c>
      <c r="F7">
        <v>-102078000</v>
      </c>
      <c r="G7">
        <v>-32826041.385052238</v>
      </c>
      <c r="H7">
        <v>-68652107.418375522</v>
      </c>
      <c r="I7">
        <v>-23368277.53982329</v>
      </c>
      <c r="J7">
        <v>-36930405.779354893</v>
      </c>
      <c r="K7">
        <v>-69980349.418313891</v>
      </c>
      <c r="L7">
        <v>-99442497.827232718</v>
      </c>
      <c r="M7">
        <v>-22936000</v>
      </c>
      <c r="N7">
        <v>-22459000</v>
      </c>
      <c r="O7">
        <v>9761000</v>
      </c>
      <c r="P7">
        <v>41086000</v>
      </c>
      <c r="Q7">
        <v>30937000</v>
      </c>
      <c r="R7">
        <v>-207000</v>
      </c>
      <c r="S7">
        <v>14563000</v>
      </c>
      <c r="T7">
        <v>-31191000</v>
      </c>
      <c r="U7">
        <v>-34709000</v>
      </c>
      <c r="V7">
        <v>-36864000</v>
      </c>
      <c r="W7">
        <v>-36391000</v>
      </c>
      <c r="X7">
        <v>64450000</v>
      </c>
      <c r="Y7">
        <v>4591000</v>
      </c>
      <c r="Z7">
        <v>2199000</v>
      </c>
      <c r="AA7">
        <v>562000</v>
      </c>
      <c r="AB7">
        <v>-36780000</v>
      </c>
      <c r="AC7">
        <v>15469000</v>
      </c>
      <c r="AD7">
        <v>5368000</v>
      </c>
      <c r="AE7">
        <v>3329000</v>
      </c>
      <c r="AF7">
        <v>7118000</v>
      </c>
      <c r="AG7">
        <v>3220000</v>
      </c>
      <c r="AH7">
        <v>1938000</v>
      </c>
      <c r="AI7">
        <v>1273000</v>
      </c>
      <c r="AJ7">
        <v>4411000</v>
      </c>
      <c r="AK7">
        <v>2938000</v>
      </c>
      <c r="AL7">
        <v>2461000</v>
      </c>
      <c r="AM7">
        <v>1414000</v>
      </c>
    </row>
    <row r="8" spans="1:39" x14ac:dyDescent="0.25">
      <c r="A8" s="10" t="s">
        <v>168</v>
      </c>
      <c r="B8" s="11">
        <v>-993869000</v>
      </c>
      <c r="C8">
        <v>351855389.9258467</v>
      </c>
      <c r="D8">
        <v>15176929705.831518</v>
      </c>
      <c r="E8">
        <v>2852788460.5923615</v>
      </c>
      <c r="F8">
        <v>1565769000</v>
      </c>
      <c r="G8">
        <v>-903865250.95018435</v>
      </c>
      <c r="H8">
        <v>7350256939.4349146</v>
      </c>
      <c r="I8">
        <v>2373988609.6169686</v>
      </c>
      <c r="J8">
        <v>1114796953.9212434</v>
      </c>
      <c r="K8">
        <v>783902596.13362205</v>
      </c>
      <c r="L8">
        <v>12064573458.550699</v>
      </c>
      <c r="M8">
        <v>1299711000</v>
      </c>
      <c r="N8">
        <v>798256000</v>
      </c>
      <c r="O8">
        <v>181284000</v>
      </c>
      <c r="P8">
        <v>2038842000</v>
      </c>
      <c r="Q8">
        <v>648514000</v>
      </c>
      <c r="R8">
        <v>489240000</v>
      </c>
      <c r="S8">
        <v>186239000</v>
      </c>
      <c r="T8">
        <v>1643549000</v>
      </c>
      <c r="U8">
        <v>680348000</v>
      </c>
      <c r="V8">
        <v>361526000</v>
      </c>
      <c r="W8">
        <v>253366000</v>
      </c>
      <c r="X8">
        <v>729803000</v>
      </c>
      <c r="Y8">
        <v>310211000</v>
      </c>
      <c r="Z8">
        <v>173463000</v>
      </c>
      <c r="AA8">
        <v>98026000</v>
      </c>
      <c r="AB8">
        <v>747129000</v>
      </c>
      <c r="AC8">
        <v>353158000</v>
      </c>
      <c r="AD8">
        <v>260084000</v>
      </c>
      <c r="AE8">
        <v>68508000</v>
      </c>
      <c r="AF8">
        <v>214975000</v>
      </c>
      <c r="AG8">
        <v>169335000</v>
      </c>
      <c r="AH8">
        <v>74465000</v>
      </c>
      <c r="AI8">
        <v>26767000</v>
      </c>
      <c r="AJ8">
        <v>290486000</v>
      </c>
      <c r="AK8">
        <v>159695000</v>
      </c>
      <c r="AL8">
        <v>118110000</v>
      </c>
      <c r="AM8">
        <v>66686000</v>
      </c>
    </row>
    <row r="9" spans="1:39" x14ac:dyDescent="0.25">
      <c r="A9" s="10" t="s">
        <v>169</v>
      </c>
      <c r="B9" s="11"/>
    </row>
    <row r="10" spans="1:39" x14ac:dyDescent="0.25">
      <c r="A10" s="10" t="s">
        <v>170</v>
      </c>
      <c r="B10" s="11"/>
    </row>
    <row r="11" spans="1:39" x14ac:dyDescent="0.25">
      <c r="A11" s="10" t="s">
        <v>171</v>
      </c>
      <c r="B11" s="11"/>
    </row>
    <row r="12" spans="1:39" x14ac:dyDescent="0.25">
      <c r="A12" s="10" t="s">
        <v>172</v>
      </c>
      <c r="B12" s="11">
        <v>-631837000</v>
      </c>
      <c r="C12">
        <v>-385255987.74152279</v>
      </c>
      <c r="D12">
        <v>-412136658.45672464</v>
      </c>
      <c r="E12">
        <v>-467503179.00291353</v>
      </c>
      <c r="F12">
        <v>-368644000</v>
      </c>
      <c r="G12">
        <v>-667678035.1407423</v>
      </c>
      <c r="H12">
        <v>523685103.14577866</v>
      </c>
      <c r="I12">
        <v>-378218429.9371379</v>
      </c>
      <c r="J12">
        <v>161140057.69006893</v>
      </c>
      <c r="K12">
        <v>-577928970.04398286</v>
      </c>
      <c r="L12">
        <v>135787784.92293128</v>
      </c>
      <c r="M12">
        <v>-6273000</v>
      </c>
      <c r="N12">
        <v>29496000</v>
      </c>
      <c r="O12">
        <v>-15430000</v>
      </c>
      <c r="P12">
        <v>346941000</v>
      </c>
      <c r="Q12">
        <v>-214650000</v>
      </c>
      <c r="R12">
        <v>-21861000</v>
      </c>
      <c r="S12">
        <v>29089000</v>
      </c>
      <c r="T12">
        <v>-207223000</v>
      </c>
      <c r="U12">
        <v>-131506000</v>
      </c>
      <c r="V12">
        <v>-35332000</v>
      </c>
      <c r="W12">
        <v>18495000</v>
      </c>
      <c r="X12">
        <v>-152226000</v>
      </c>
      <c r="Y12">
        <v>-23507000</v>
      </c>
      <c r="Z12">
        <v>22413000</v>
      </c>
      <c r="AA12">
        <v>13118000</v>
      </c>
      <c r="AB12">
        <v>-112645000</v>
      </c>
      <c r="AC12">
        <v>-2770000</v>
      </c>
      <c r="AD12">
        <v>79754000</v>
      </c>
      <c r="AE12">
        <v>50582000</v>
      </c>
      <c r="AF12">
        <v>114307000</v>
      </c>
      <c r="AG12">
        <v>106154000</v>
      </c>
      <c r="AH12">
        <v>78781000</v>
      </c>
      <c r="AI12">
        <v>45891000</v>
      </c>
      <c r="AJ12">
        <v>-8474000</v>
      </c>
      <c r="AK12">
        <v>-5859000</v>
      </c>
      <c r="AL12">
        <v>-4359000</v>
      </c>
      <c r="AM12">
        <v>-2936000</v>
      </c>
    </row>
    <row r="13" spans="1:39" x14ac:dyDescent="0.25">
      <c r="A13" s="10" t="s">
        <v>173</v>
      </c>
      <c r="B13" s="11"/>
    </row>
    <row r="14" spans="1:39" x14ac:dyDescent="0.25">
      <c r="A14" s="10" t="s">
        <v>174</v>
      </c>
      <c r="B14" s="11"/>
    </row>
    <row r="15" spans="1:39" x14ac:dyDescent="0.25">
      <c r="A15" s="10" t="s">
        <v>175</v>
      </c>
      <c r="B15" s="11"/>
    </row>
    <row r="16" spans="1:39" x14ac:dyDescent="0.25">
      <c r="A16" s="10" t="s">
        <v>176</v>
      </c>
      <c r="B16" s="11"/>
    </row>
    <row r="17" spans="1:39" x14ac:dyDescent="0.25">
      <c r="A17" s="10" t="s">
        <v>177</v>
      </c>
      <c r="B17" s="11"/>
    </row>
    <row r="18" spans="1:39" x14ac:dyDescent="0.25">
      <c r="A18" s="10" t="s">
        <v>178</v>
      </c>
      <c r="B18" s="11"/>
    </row>
    <row r="19" spans="1:39" x14ac:dyDescent="0.25">
      <c r="A19" s="10" t="s">
        <v>179</v>
      </c>
      <c r="B19" s="11">
        <v>207584000</v>
      </c>
      <c r="C19">
        <v>106850535.02059437</v>
      </c>
      <c r="D19">
        <v>67663879.227431044</v>
      </c>
      <c r="E19">
        <v>30299283.612281092</v>
      </c>
      <c r="F19">
        <v>27700000</v>
      </c>
      <c r="G19">
        <v>39767361.510006122</v>
      </c>
      <c r="H19">
        <v>2481654.5007543163</v>
      </c>
      <c r="I19">
        <v>11077210.77841467</v>
      </c>
      <c r="J19">
        <v>11010517.015983339</v>
      </c>
      <c r="K19">
        <v>3847374.7049502921</v>
      </c>
      <c r="L19">
        <v>-53727888.94685325</v>
      </c>
      <c r="M19">
        <v>18688000</v>
      </c>
      <c r="N19">
        <v>5509000</v>
      </c>
      <c r="O19">
        <v>8390000</v>
      </c>
      <c r="P19">
        <v>2820000</v>
      </c>
      <c r="Q19">
        <v>20955000</v>
      </c>
      <c r="R19">
        <v>7189000</v>
      </c>
      <c r="S19">
        <v>5016000</v>
      </c>
      <c r="T19">
        <v>-12408000</v>
      </c>
      <c r="U19">
        <v>12320000</v>
      </c>
      <c r="V19">
        <v>9507000</v>
      </c>
      <c r="W19">
        <v>8439000</v>
      </c>
      <c r="X19">
        <v>-2325000</v>
      </c>
      <c r="Y19">
        <v>-6036000</v>
      </c>
      <c r="Z19">
        <v>-4851000</v>
      </c>
      <c r="AA19">
        <v>1138000</v>
      </c>
      <c r="AB19">
        <v>8951000</v>
      </c>
      <c r="AC19">
        <v>7524000</v>
      </c>
      <c r="AD19">
        <v>5948000</v>
      </c>
      <c r="AE19">
        <v>2701000</v>
      </c>
      <c r="AF19">
        <v>-9302000</v>
      </c>
      <c r="AG19">
        <v>-2230000</v>
      </c>
      <c r="AH19">
        <v>-5722000</v>
      </c>
      <c r="AI19">
        <v>-8120000</v>
      </c>
      <c r="AJ19">
        <v>-213000</v>
      </c>
      <c r="AK19">
        <v>-1408000</v>
      </c>
      <c r="AL19">
        <v>227000</v>
      </c>
      <c r="AM19">
        <v>3742000</v>
      </c>
    </row>
    <row r="20" spans="1:39" x14ac:dyDescent="0.25">
      <c r="A20" s="10" t="s">
        <v>180</v>
      </c>
      <c r="B20" s="11">
        <v>-8795939000</v>
      </c>
      <c r="C20">
        <v>-4525450263.0529766</v>
      </c>
      <c r="D20">
        <v>-8116848998.610568</v>
      </c>
      <c r="E20">
        <v>-8774149050.9746037</v>
      </c>
      <c r="F20">
        <v>-6234173000</v>
      </c>
      <c r="G20">
        <v>-2594486947.3887277</v>
      </c>
      <c r="H20">
        <v>-277328098.99238235</v>
      </c>
      <c r="I20">
        <v>754025266.52706087</v>
      </c>
      <c r="J20">
        <v>28080667.27748578</v>
      </c>
      <c r="K20">
        <v>2382877672.2833228</v>
      </c>
      <c r="L20">
        <v>-3540084194.0754447</v>
      </c>
      <c r="M20">
        <v>-401081000</v>
      </c>
      <c r="N20">
        <v>-59152000</v>
      </c>
      <c r="O20">
        <v>-305918000</v>
      </c>
      <c r="P20">
        <v>69082000</v>
      </c>
      <c r="Q20">
        <v>-46540000</v>
      </c>
      <c r="R20">
        <v>74476000</v>
      </c>
      <c r="S20">
        <v>99738000</v>
      </c>
      <c r="T20">
        <v>423885000</v>
      </c>
      <c r="U20">
        <v>250163000</v>
      </c>
      <c r="V20">
        <v>131362000</v>
      </c>
      <c r="W20">
        <v>55883000</v>
      </c>
      <c r="X20">
        <v>-44142000</v>
      </c>
      <c r="Y20">
        <v>-122431000</v>
      </c>
      <c r="Z20">
        <v>-24714000</v>
      </c>
      <c r="AA20">
        <v>26051000</v>
      </c>
      <c r="AB20">
        <v>-77581000</v>
      </c>
      <c r="AC20">
        <v>39083000</v>
      </c>
      <c r="AD20">
        <v>-35830000</v>
      </c>
      <c r="AE20">
        <v>-36294000</v>
      </c>
      <c r="AF20">
        <v>-211018000</v>
      </c>
      <c r="AG20">
        <v>-136110000</v>
      </c>
      <c r="AH20">
        <v>-126326000</v>
      </c>
      <c r="AI20">
        <v>-37687000</v>
      </c>
      <c r="AJ20">
        <v>-61178000</v>
      </c>
      <c r="AK20">
        <v>-33138000</v>
      </c>
      <c r="AL20">
        <v>-25004000</v>
      </c>
      <c r="AM20">
        <v>-258000</v>
      </c>
    </row>
    <row r="21" spans="1:39" x14ac:dyDescent="0.25">
      <c r="A21" s="10" t="s">
        <v>181</v>
      </c>
      <c r="B21" s="11"/>
    </row>
    <row r="22" spans="1:39" x14ac:dyDescent="0.25">
      <c r="A22" s="10" t="s">
        <v>182</v>
      </c>
      <c r="B22" s="1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73074000</v>
      </c>
      <c r="AD22">
        <v>58589000</v>
      </c>
      <c r="AE22">
        <v>4984000</v>
      </c>
      <c r="AF22">
        <v>111313000</v>
      </c>
      <c r="AG22">
        <v>56256000</v>
      </c>
      <c r="AH22">
        <v>35209000</v>
      </c>
      <c r="AI22">
        <v>6041000</v>
      </c>
      <c r="AJ22">
        <v>27238000</v>
      </c>
      <c r="AK22">
        <v>15901000</v>
      </c>
      <c r="AL22">
        <v>12655000</v>
      </c>
      <c r="AM22">
        <v>678000</v>
      </c>
    </row>
    <row r="23" spans="1:39" x14ac:dyDescent="0.25">
      <c r="A23" s="10" t="s">
        <v>183</v>
      </c>
      <c r="B23" s="11"/>
    </row>
    <row r="24" spans="1:39" x14ac:dyDescent="0.25">
      <c r="A24" s="10" t="s">
        <v>184</v>
      </c>
      <c r="B24" s="11"/>
    </row>
    <row r="25" spans="1:39" x14ac:dyDescent="0.25">
      <c r="A25" s="10" t="s">
        <v>185</v>
      </c>
      <c r="B25" s="11"/>
    </row>
    <row r="26" spans="1:39" x14ac:dyDescent="0.25">
      <c r="A26" s="10" t="s">
        <v>186</v>
      </c>
      <c r="B26" s="11">
        <v>6131389000</v>
      </c>
      <c r="C26">
        <v>2937949785.1720486</v>
      </c>
      <c r="D26">
        <v>11488842262.658546</v>
      </c>
      <c r="E26">
        <v>6419879711.5859652</v>
      </c>
      <c r="F26">
        <v>1675657000</v>
      </c>
      <c r="G26">
        <v>1526476648.5722699</v>
      </c>
      <c r="H26">
        <v>7948264503.0191278</v>
      </c>
      <c r="I26">
        <v>6406149128.1787386</v>
      </c>
      <c r="J26">
        <v>7011313029.4098625</v>
      </c>
      <c r="K26">
        <v>690653535.31482124</v>
      </c>
      <c r="L26">
        <v>6229482147.4846449</v>
      </c>
      <c r="M26">
        <v>1278299000</v>
      </c>
      <c r="N26">
        <v>1085047000</v>
      </c>
      <c r="O26">
        <v>588386000</v>
      </c>
      <c r="P26">
        <v>2156388000</v>
      </c>
      <c r="Q26">
        <v>490661000</v>
      </c>
      <c r="R26">
        <v>544815000</v>
      </c>
      <c r="S26">
        <v>318334000</v>
      </c>
      <c r="T26">
        <v>658136000</v>
      </c>
      <c r="U26">
        <v>727746000</v>
      </c>
      <c r="V26">
        <v>321161000</v>
      </c>
      <c r="W26">
        <v>212964000</v>
      </c>
      <c r="X26">
        <v>137302000</v>
      </c>
      <c r="Y26">
        <v>6485000</v>
      </c>
      <c r="Z26">
        <v>61523000</v>
      </c>
      <c r="AA26">
        <v>50907000</v>
      </c>
      <c r="AB26">
        <v>108318000</v>
      </c>
      <c r="AC26">
        <v>218022000</v>
      </c>
      <c r="AD26">
        <v>-3377000</v>
      </c>
      <c r="AE26">
        <v>10406000</v>
      </c>
      <c r="AF26">
        <v>-19559000</v>
      </c>
      <c r="AG26">
        <v>-20453000</v>
      </c>
      <c r="AH26">
        <v>-24015000</v>
      </c>
      <c r="AI26">
        <v>-14108000</v>
      </c>
      <c r="AJ26">
        <v>65439000</v>
      </c>
      <c r="AK26">
        <v>851000</v>
      </c>
      <c r="AL26">
        <v>-11548000</v>
      </c>
      <c r="AM26">
        <v>-20940000</v>
      </c>
    </row>
    <row r="27" spans="1:39" x14ac:dyDescent="0.25">
      <c r="A27" s="10" t="s">
        <v>187</v>
      </c>
      <c r="B27" s="11">
        <v>4025285000</v>
      </c>
      <c r="C27">
        <v>1963153316.7201974</v>
      </c>
      <c r="D27">
        <v>2791625632.009089</v>
      </c>
      <c r="E27">
        <v>3142794649.5590148</v>
      </c>
      <c r="F27">
        <v>4420372000</v>
      </c>
      <c r="G27">
        <v>767563928.55764902</v>
      </c>
      <c r="H27">
        <v>4149664679.6595335</v>
      </c>
      <c r="I27">
        <v>3196702750.0989647</v>
      </c>
      <c r="J27">
        <v>6150737069.6204453</v>
      </c>
      <c r="K27">
        <v>620272051.69972014</v>
      </c>
      <c r="L27">
        <v>9418019685.3413506</v>
      </c>
      <c r="M27">
        <v>1062106000</v>
      </c>
      <c r="N27">
        <v>857474000</v>
      </c>
      <c r="O27">
        <v>318606000</v>
      </c>
      <c r="P27">
        <v>1011421000</v>
      </c>
      <c r="Q27">
        <v>378096000</v>
      </c>
      <c r="R27">
        <v>88750000</v>
      </c>
      <c r="S27">
        <v>-53707000</v>
      </c>
      <c r="T27">
        <v>705062000</v>
      </c>
      <c r="U27">
        <v>350228000</v>
      </c>
      <c r="V27">
        <v>184495000</v>
      </c>
      <c r="W27">
        <v>23816000</v>
      </c>
      <c r="X27">
        <v>950299000</v>
      </c>
      <c r="Y27">
        <v>488120000</v>
      </c>
      <c r="Z27">
        <v>327458000</v>
      </c>
      <c r="AA27">
        <v>162944000</v>
      </c>
      <c r="AB27">
        <v>1098873000</v>
      </c>
      <c r="AC27">
        <v>-17139000</v>
      </c>
      <c r="AD27">
        <v>-11383000</v>
      </c>
      <c r="AE27">
        <v>-1417000</v>
      </c>
      <c r="AF27">
        <v>-18435000</v>
      </c>
      <c r="AG27">
        <v>-17639000</v>
      </c>
      <c r="AH27">
        <v>-12653000</v>
      </c>
      <c r="AI27">
        <v>-29328000</v>
      </c>
      <c r="AJ27">
        <v>-89192000</v>
      </c>
      <c r="AK27">
        <v>-10696000</v>
      </c>
      <c r="AL27">
        <v>3154000</v>
      </c>
      <c r="AM27">
        <v>6677000</v>
      </c>
    </row>
    <row r="28" spans="1:39" x14ac:dyDescent="0.25">
      <c r="A28" s="32" t="s">
        <v>188</v>
      </c>
      <c r="B28" s="16">
        <v>7210400000</v>
      </c>
      <c r="C28">
        <v>2119136907.0968528</v>
      </c>
      <c r="D28">
        <v>-12512567330.204317</v>
      </c>
      <c r="E28">
        <v>-9302075972.1830788</v>
      </c>
      <c r="F28">
        <v>-8404856000</v>
      </c>
      <c r="G28">
        <v>-4308248851.0672865</v>
      </c>
      <c r="H28">
        <v>-18709868823.244118</v>
      </c>
      <c r="I28">
        <v>-13561424702.671249</v>
      </c>
      <c r="J28">
        <v>-15887527820.509726</v>
      </c>
      <c r="K28">
        <v>3051574234.3010182</v>
      </c>
      <c r="L28">
        <v>-6495717776.6513567</v>
      </c>
      <c r="M28">
        <v>-8236074000</v>
      </c>
      <c r="N28">
        <v>-5990607000</v>
      </c>
      <c r="O28">
        <v>-3475126000</v>
      </c>
      <c r="P28">
        <v>-10227847000</v>
      </c>
      <c r="Q28">
        <v>-5059686000</v>
      </c>
      <c r="R28">
        <v>-4433787000</v>
      </c>
      <c r="S28">
        <v>-2476706000</v>
      </c>
      <c r="T28">
        <v>-5878957000</v>
      </c>
      <c r="U28">
        <v>-5508956000</v>
      </c>
      <c r="V28">
        <v>-3974250000</v>
      </c>
      <c r="W28">
        <v>-2146907000</v>
      </c>
      <c r="X28">
        <v>-4060678000</v>
      </c>
      <c r="Y28">
        <v>-4219154000</v>
      </c>
      <c r="Z28">
        <v>-3215163000</v>
      </c>
      <c r="AA28">
        <v>-1361633000</v>
      </c>
      <c r="AB28">
        <v>-3715776000</v>
      </c>
      <c r="AC28">
        <v>-3346413000</v>
      </c>
      <c r="AD28">
        <v>-1845993000</v>
      </c>
      <c r="AE28">
        <v>-1068440000</v>
      </c>
      <c r="AF28">
        <v>-956305000</v>
      </c>
      <c r="AG28">
        <v>-962615000</v>
      </c>
      <c r="AH28">
        <v>-542316000</v>
      </c>
      <c r="AI28">
        <v>-289750000</v>
      </c>
      <c r="AJ28">
        <v>-363676000</v>
      </c>
      <c r="AK28">
        <v>71055000</v>
      </c>
      <c r="AL28">
        <v>-212915000</v>
      </c>
      <c r="AM28">
        <v>-308734000</v>
      </c>
    </row>
    <row r="29" spans="1:39" x14ac:dyDescent="0.25">
      <c r="A29" s="10" t="s">
        <v>189</v>
      </c>
      <c r="B29" s="11"/>
      <c r="C29" s="14"/>
    </row>
    <row r="30" spans="1:39" x14ac:dyDescent="0.25">
      <c r="A30" s="10" t="s">
        <v>190</v>
      </c>
      <c r="B30" s="11"/>
    </row>
    <row r="31" spans="1:39" x14ac:dyDescent="0.25">
      <c r="A31" s="10" t="s">
        <v>191</v>
      </c>
      <c r="B31" s="11">
        <v>13269741000</v>
      </c>
      <c r="C31">
        <v>10093311261.743195</v>
      </c>
      <c r="D31">
        <v>2586169840.9156098</v>
      </c>
      <c r="E31">
        <v>-2394415859.1775661</v>
      </c>
      <c r="F31">
        <v>1171696000</v>
      </c>
      <c r="G31">
        <v>7742509385.576829</v>
      </c>
      <c r="H31">
        <v>-31719062238.643349</v>
      </c>
      <c r="I31">
        <v>-7770128966.8508739</v>
      </c>
      <c r="J31">
        <v>-8337655601.8091755</v>
      </c>
      <c r="K31">
        <v>8792106172.9680729</v>
      </c>
      <c r="L31">
        <v>-34892878820.257294</v>
      </c>
      <c r="M31">
        <v>-2532769000</v>
      </c>
      <c r="N31">
        <v>-2689747000</v>
      </c>
      <c r="O31">
        <v>-436966000</v>
      </c>
      <c r="P31">
        <v>-6489832000</v>
      </c>
      <c r="Q31">
        <v>1426736000</v>
      </c>
      <c r="R31">
        <v>687040000</v>
      </c>
      <c r="S31">
        <v>728924000</v>
      </c>
      <c r="T31">
        <v>-3468468000</v>
      </c>
      <c r="U31">
        <v>-811438000</v>
      </c>
      <c r="V31">
        <v>191136000</v>
      </c>
      <c r="W31">
        <v>186499000</v>
      </c>
      <c r="X31">
        <v>-3374680000</v>
      </c>
      <c r="Y31">
        <v>-1784228000</v>
      </c>
      <c r="Z31">
        <v>-1751936000</v>
      </c>
      <c r="AA31">
        <v>-1020080000</v>
      </c>
      <c r="AB31">
        <v>-1268990000</v>
      </c>
      <c r="AC31">
        <v>-1128975000</v>
      </c>
      <c r="AD31">
        <v>-613218000</v>
      </c>
      <c r="AE31">
        <v>-591798000</v>
      </c>
      <c r="AF31">
        <v>385312000</v>
      </c>
      <c r="AG31">
        <v>580575000</v>
      </c>
      <c r="AH31">
        <v>666689000</v>
      </c>
      <c r="AI31">
        <v>198601000</v>
      </c>
      <c r="AJ31">
        <v>-1135344000</v>
      </c>
      <c r="AK31">
        <v>-226002000</v>
      </c>
      <c r="AL31">
        <v>-191558000</v>
      </c>
      <c r="AM31">
        <v>-28844000</v>
      </c>
    </row>
    <row r="32" spans="1:39" x14ac:dyDescent="0.25">
      <c r="A32" s="10" t="s">
        <v>192</v>
      </c>
      <c r="B32" s="11"/>
    </row>
    <row r="33" spans="1:39" x14ac:dyDescent="0.25">
      <c r="A33" s="10" t="s">
        <v>193</v>
      </c>
      <c r="B33" s="11">
        <v>35669000</v>
      </c>
      <c r="C33">
        <v>-463661739.17737561</v>
      </c>
      <c r="D33">
        <v>-121172877.21219572</v>
      </c>
      <c r="E33">
        <v>-386101674.41096371</v>
      </c>
      <c r="F33">
        <v>402609000</v>
      </c>
      <c r="G33">
        <v>-250285049.70402986</v>
      </c>
      <c r="H33">
        <v>-1053090729.1017116</v>
      </c>
      <c r="I33">
        <v>-113222137.83766668</v>
      </c>
      <c r="J33">
        <v>551862832.50477517</v>
      </c>
      <c r="K33">
        <v>-6608466.2930538887</v>
      </c>
      <c r="L33">
        <v>-854939663.44695532</v>
      </c>
      <c r="M33">
        <v>124466000</v>
      </c>
      <c r="N33">
        <v>237619000</v>
      </c>
      <c r="O33">
        <v>45970000</v>
      </c>
      <c r="P33">
        <v>-50986000</v>
      </c>
      <c r="Q33">
        <v>180827000</v>
      </c>
      <c r="R33">
        <v>132827000</v>
      </c>
      <c r="S33">
        <v>44607000</v>
      </c>
      <c r="T33">
        <v>-292008000</v>
      </c>
      <c r="U33">
        <v>-90920000</v>
      </c>
      <c r="V33">
        <v>-53658000</v>
      </c>
      <c r="W33">
        <v>-7355000</v>
      </c>
      <c r="X33">
        <v>-176737000</v>
      </c>
      <c r="Y33">
        <v>-110277000</v>
      </c>
      <c r="Z33">
        <v>-57036000</v>
      </c>
      <c r="AA33">
        <v>-41874000</v>
      </c>
      <c r="AB33">
        <v>-91459000</v>
      </c>
      <c r="AC33">
        <v>4392000</v>
      </c>
      <c r="AD33">
        <v>-375000</v>
      </c>
      <c r="AE33">
        <v>13153000</v>
      </c>
      <c r="AF33">
        <v>-28415000</v>
      </c>
      <c r="AG33">
        <v>-10905000</v>
      </c>
      <c r="AH33">
        <v>-16163000</v>
      </c>
      <c r="AI33">
        <v>-12511000</v>
      </c>
      <c r="AJ33">
        <v>-36477000</v>
      </c>
      <c r="AK33">
        <v>-4221000</v>
      </c>
      <c r="AL33">
        <v>-18599000</v>
      </c>
      <c r="AM33">
        <v>-9540000</v>
      </c>
    </row>
    <row r="34" spans="1:39" x14ac:dyDescent="0.25">
      <c r="A34" s="10" t="s">
        <v>194</v>
      </c>
      <c r="B34" s="11"/>
    </row>
    <row r="35" spans="1:39" x14ac:dyDescent="0.25">
      <c r="A35" s="10" t="s">
        <v>195</v>
      </c>
      <c r="B35" s="11"/>
    </row>
    <row r="36" spans="1:39" x14ac:dyDescent="0.25">
      <c r="A36" s="10" t="s">
        <v>196</v>
      </c>
      <c r="B36" s="11"/>
    </row>
    <row r="37" spans="1:39" x14ac:dyDescent="0.25">
      <c r="A37" s="10" t="s">
        <v>197</v>
      </c>
      <c r="B37" s="11">
        <v>-2098393000</v>
      </c>
      <c r="C37">
        <v>1515934280.1173728</v>
      </c>
      <c r="D37">
        <v>4019281562.3773069</v>
      </c>
      <c r="E37">
        <v>2306869441.1517878</v>
      </c>
      <c r="F37">
        <v>3507689000</v>
      </c>
      <c r="G37">
        <v>1189583047.3213773</v>
      </c>
      <c r="H37">
        <v>-6986514293.8518562</v>
      </c>
      <c r="I37">
        <v>-7881126735.2978449</v>
      </c>
      <c r="J37">
        <v>-4170434879.9244599</v>
      </c>
      <c r="K37">
        <v>1386366631.8854673</v>
      </c>
      <c r="L37">
        <v>-2157566814.1477265</v>
      </c>
      <c r="M37">
        <v>-3726304000</v>
      </c>
      <c r="N37">
        <v>-2258572000</v>
      </c>
      <c r="O37">
        <v>-1170127000</v>
      </c>
      <c r="P37">
        <v>-2094115000</v>
      </c>
      <c r="Q37">
        <v>-1777219000</v>
      </c>
      <c r="R37">
        <v>-1108184000</v>
      </c>
      <c r="S37">
        <v>-323707000</v>
      </c>
      <c r="T37">
        <v>-1012940000</v>
      </c>
      <c r="U37">
        <v>-1505942000</v>
      </c>
      <c r="V37">
        <v>-879560000</v>
      </c>
      <c r="W37">
        <v>-532581000</v>
      </c>
      <c r="X37">
        <v>-877880000</v>
      </c>
      <c r="Y37">
        <v>-1342757000</v>
      </c>
      <c r="Z37">
        <v>-960220000</v>
      </c>
      <c r="AA37">
        <v>-465401000</v>
      </c>
      <c r="AB37">
        <v>-1316341000</v>
      </c>
      <c r="AC37">
        <v>-1226081000</v>
      </c>
      <c r="AD37">
        <v>-695177000</v>
      </c>
      <c r="AE37">
        <v>-282059000</v>
      </c>
      <c r="AF37">
        <v>-612500000</v>
      </c>
      <c r="AG37">
        <v>-420137000</v>
      </c>
      <c r="AH37">
        <v>-157564000</v>
      </c>
      <c r="AI37">
        <v>-87694000</v>
      </c>
      <c r="AJ37">
        <v>-149986000</v>
      </c>
      <c r="AK37">
        <v>-240895000</v>
      </c>
      <c r="AL37">
        <v>-82676000</v>
      </c>
      <c r="AM37">
        <v>-56102000</v>
      </c>
    </row>
    <row r="38" spans="1:39" x14ac:dyDescent="0.25">
      <c r="A38" s="10" t="s">
        <v>198</v>
      </c>
      <c r="B38" s="11"/>
    </row>
    <row r="39" spans="1:39" x14ac:dyDescent="0.25">
      <c r="A39" s="10" t="s">
        <v>199</v>
      </c>
      <c r="B39" s="11">
        <v>-4598502000</v>
      </c>
      <c r="C39">
        <v>-4101751997.8204145</v>
      </c>
      <c r="D39">
        <v>941131592.17745996</v>
      </c>
      <c r="E39">
        <v>-2589327156.9575958</v>
      </c>
      <c r="F39">
        <v>-2359976000</v>
      </c>
      <c r="G39">
        <v>-1320184388.2979264</v>
      </c>
      <c r="H39">
        <v>-2028714635.339256</v>
      </c>
      <c r="I39">
        <v>-4669029464.3767624</v>
      </c>
      <c r="J39">
        <v>-5695082900.456605</v>
      </c>
      <c r="K39">
        <v>-2362289532.8328981</v>
      </c>
      <c r="L39">
        <v>-640952911.26612091</v>
      </c>
      <c r="M39">
        <v>-1055282000</v>
      </c>
      <c r="N39">
        <v>-622018000</v>
      </c>
      <c r="O39">
        <v>-64434000</v>
      </c>
      <c r="P39">
        <v>-611899000</v>
      </c>
      <c r="Q39">
        <v>-371993000</v>
      </c>
      <c r="R39">
        <v>-268692000</v>
      </c>
      <c r="S39">
        <v>-218863000</v>
      </c>
      <c r="T39">
        <v>-204986000</v>
      </c>
      <c r="U39">
        <v>-209534000</v>
      </c>
      <c r="V39">
        <v>-117807000</v>
      </c>
      <c r="W39">
        <v>-59004000</v>
      </c>
      <c r="X39">
        <v>-49364000</v>
      </c>
      <c r="Y39">
        <v>-150437000</v>
      </c>
      <c r="Z39">
        <v>-172126000</v>
      </c>
      <c r="AA39">
        <v>-86524000</v>
      </c>
      <c r="AB39">
        <v>-690885000</v>
      </c>
      <c r="AC39">
        <v>-706941000</v>
      </c>
      <c r="AD39">
        <v>-440528000</v>
      </c>
      <c r="AE39">
        <v>-344833000</v>
      </c>
      <c r="AF39">
        <v>-503556000</v>
      </c>
      <c r="AG39">
        <v>-521737000</v>
      </c>
      <c r="AH39">
        <v>-417452000</v>
      </c>
      <c r="AI39">
        <v>-257239000</v>
      </c>
      <c r="AJ39">
        <v>-276581000</v>
      </c>
      <c r="AK39">
        <v>-208983000</v>
      </c>
      <c r="AL39">
        <v>-180947000</v>
      </c>
      <c r="AM39">
        <v>-68111000</v>
      </c>
    </row>
    <row r="40" spans="1:39" x14ac:dyDescent="0.25">
      <c r="A40" s="10" t="s">
        <v>200</v>
      </c>
      <c r="B40" s="11">
        <v>-3896843000</v>
      </c>
      <c r="C40">
        <v>-7628232019.6467314</v>
      </c>
      <c r="D40">
        <v>-931250477.00731969</v>
      </c>
      <c r="E40">
        <v>-1119863357.3526618</v>
      </c>
      <c r="F40">
        <v>-2156064000</v>
      </c>
      <c r="G40">
        <v>-3445406081.2098732</v>
      </c>
      <c r="H40">
        <v>9960103421.0575333</v>
      </c>
      <c r="I40">
        <v>5017220147.433259</v>
      </c>
      <c r="J40">
        <v>2422034192.7960715</v>
      </c>
      <c r="K40">
        <v>-3373075973.0587487</v>
      </c>
      <c r="L40">
        <v>11941202299.099699</v>
      </c>
      <c r="M40">
        <v>-176849000</v>
      </c>
      <c r="N40">
        <v>-577800000</v>
      </c>
      <c r="O40">
        <v>-735434000</v>
      </c>
      <c r="P40">
        <v>1961552000</v>
      </c>
      <c r="Q40">
        <v>-940923000</v>
      </c>
      <c r="R40">
        <v>-1017401000</v>
      </c>
      <c r="S40">
        <v>-887475000</v>
      </c>
      <c r="T40">
        <v>1183552000</v>
      </c>
      <c r="U40">
        <v>-285234000</v>
      </c>
      <c r="V40">
        <v>-1473032000</v>
      </c>
      <c r="W40">
        <v>-462800000</v>
      </c>
      <c r="X40">
        <v>1302132000</v>
      </c>
      <c r="Y40">
        <v>541495000</v>
      </c>
      <c r="Z40">
        <v>195546000</v>
      </c>
      <c r="AA40">
        <v>500980000</v>
      </c>
      <c r="AB40">
        <v>770883000</v>
      </c>
      <c r="AC40">
        <v>-281999000</v>
      </c>
      <c r="AD40">
        <v>19646000</v>
      </c>
      <c r="AE40">
        <v>-78148000</v>
      </c>
      <c r="AF40">
        <v>561079000</v>
      </c>
      <c r="AG40">
        <v>245598000</v>
      </c>
      <c r="AH40">
        <v>-31800000</v>
      </c>
      <c r="AI40">
        <v>-46217000</v>
      </c>
      <c r="AJ40">
        <v>324047000</v>
      </c>
      <c r="AK40">
        <v>32334000</v>
      </c>
      <c r="AL40">
        <v>-17579000</v>
      </c>
      <c r="AM40">
        <v>-53828000</v>
      </c>
    </row>
    <row r="41" spans="1:39" x14ac:dyDescent="0.25">
      <c r="A41" s="10" t="s">
        <v>201</v>
      </c>
      <c r="B41" s="11"/>
    </row>
    <row r="42" spans="1:39" x14ac:dyDescent="0.25">
      <c r="A42" s="10" t="s">
        <v>202</v>
      </c>
      <c r="B42" s="11">
        <v>261504000</v>
      </c>
      <c r="C42">
        <v>-487372262.57915384</v>
      </c>
      <c r="D42">
        <v>2101638175.3515487</v>
      </c>
      <c r="E42">
        <v>1310975620.6772335</v>
      </c>
      <c r="F42">
        <v>823908000</v>
      </c>
      <c r="G42">
        <v>1303013419.5465515</v>
      </c>
      <c r="H42">
        <v>955837174.37186873</v>
      </c>
      <c r="I42">
        <v>857360491.58802307</v>
      </c>
      <c r="J42">
        <v>374607418.55912805</v>
      </c>
      <c r="K42">
        <v>177774184.85419288</v>
      </c>
      <c r="L42">
        <v>917944225.3654443</v>
      </c>
      <c r="M42">
        <v>256722000</v>
      </c>
      <c r="N42">
        <v>75735000</v>
      </c>
      <c r="O42">
        <v>11756000</v>
      </c>
      <c r="P42">
        <v>101019000</v>
      </c>
      <c r="Q42">
        <v>58955000</v>
      </c>
      <c r="R42">
        <v>26419000</v>
      </c>
      <c r="S42">
        <v>-8499000</v>
      </c>
      <c r="T42">
        <v>59567000</v>
      </c>
      <c r="U42">
        <v>36325000</v>
      </c>
      <c r="V42">
        <v>20561000</v>
      </c>
      <c r="W42">
        <v>-15186000</v>
      </c>
      <c r="X42">
        <v>111066000</v>
      </c>
      <c r="Y42">
        <v>103440000</v>
      </c>
      <c r="Z42">
        <v>21208000</v>
      </c>
      <c r="AA42">
        <v>13088000</v>
      </c>
      <c r="AB42">
        <v>-11260000</v>
      </c>
      <c r="AC42">
        <v>-97000</v>
      </c>
      <c r="AD42">
        <v>5863000</v>
      </c>
      <c r="AE42">
        <v>-2107000</v>
      </c>
      <c r="AF42">
        <v>9297000</v>
      </c>
      <c r="AG42">
        <v>8369000</v>
      </c>
      <c r="AH42">
        <v>-12761000</v>
      </c>
      <c r="AI42">
        <v>-16473000</v>
      </c>
      <c r="AJ42">
        <v>15248000</v>
      </c>
      <c r="AK42">
        <v>1607000</v>
      </c>
      <c r="AL42">
        <v>-1777000</v>
      </c>
      <c r="AM42">
        <v>-2305000</v>
      </c>
    </row>
    <row r="43" spans="1:39" x14ac:dyDescent="0.25">
      <c r="A43" s="10" t="s">
        <v>203</v>
      </c>
      <c r="B43" s="11">
        <v>890195000</v>
      </c>
      <c r="C43">
        <v>-1504459052.5131233</v>
      </c>
      <c r="D43">
        <v>-16439772160.146021</v>
      </c>
      <c r="E43">
        <v>-11885173902.931725</v>
      </c>
      <c r="F43">
        <v>-9436800000</v>
      </c>
      <c r="G43">
        <v>-5359462384.8593254</v>
      </c>
      <c r="H43">
        <v>-2902759884.2450318</v>
      </c>
      <c r="I43">
        <v>-14235331754.639456</v>
      </c>
      <c r="J43">
        <v>-5963636608.5698643</v>
      </c>
      <c r="K43">
        <v>-4450402378.1684256</v>
      </c>
      <c r="L43">
        <v>3494834513.7841644</v>
      </c>
      <c r="M43">
        <v>-3007047000</v>
      </c>
      <c r="N43">
        <v>-1721537000</v>
      </c>
      <c r="O43">
        <v>-1258193000</v>
      </c>
      <c r="P43">
        <v>-1479884000</v>
      </c>
      <c r="Q43">
        <v>-1521556000</v>
      </c>
      <c r="R43">
        <v>-1651175000</v>
      </c>
      <c r="S43">
        <v>-1261815000</v>
      </c>
      <c r="T43">
        <v>-1062025000</v>
      </c>
      <c r="U43">
        <v>-493798000</v>
      </c>
      <c r="V43">
        <v>-991162000</v>
      </c>
      <c r="W43">
        <v>-1551915000</v>
      </c>
      <c r="X43">
        <v>83418000</v>
      </c>
      <c r="Y43">
        <v>-254451000</v>
      </c>
      <c r="Z43">
        <v>397676000</v>
      </c>
      <c r="AA43">
        <v>148294000</v>
      </c>
      <c r="AB43">
        <v>-731312000</v>
      </c>
      <c r="AC43">
        <v>-78066000</v>
      </c>
      <c r="AD43">
        <v>-124551000</v>
      </c>
      <c r="AE43">
        <v>84159000</v>
      </c>
    </row>
    <row r="44" spans="1:39" x14ac:dyDescent="0.25">
      <c r="A44" s="10" t="s">
        <v>204</v>
      </c>
      <c r="B44" s="11">
        <v>-415023000</v>
      </c>
      <c r="C44">
        <v>-291544985.85299981</v>
      </c>
      <c r="D44">
        <v>-372467522.10240078</v>
      </c>
      <c r="E44">
        <v>-287111037.05624348</v>
      </c>
      <c r="F44">
        <v>-351593000</v>
      </c>
      <c r="G44">
        <v>-357154665.93449736</v>
      </c>
      <c r="H44">
        <v>-753657587.24553466</v>
      </c>
      <c r="I44">
        <v>-553951051.16461349</v>
      </c>
      <c r="J44">
        <v>-602262991.34648967</v>
      </c>
      <c r="K44">
        <v>-760008759.54325151</v>
      </c>
      <c r="L44">
        <v>-1314674865.4443955</v>
      </c>
      <c r="M44">
        <v>-278725000</v>
      </c>
      <c r="N44">
        <v>-249777000</v>
      </c>
      <c r="O44">
        <v>-251229000</v>
      </c>
      <c r="P44">
        <v>-78433000</v>
      </c>
      <c r="Q44">
        <v>-82428000</v>
      </c>
      <c r="R44">
        <v>-69958000</v>
      </c>
      <c r="S44">
        <v>-93694000</v>
      </c>
      <c r="T44">
        <v>-8816000</v>
      </c>
      <c r="U44">
        <v>-18596000</v>
      </c>
      <c r="V44">
        <v>-51276000</v>
      </c>
      <c r="W44">
        <v>-23268000</v>
      </c>
      <c r="X44">
        <v>60591000</v>
      </c>
      <c r="Y44">
        <v>14894000</v>
      </c>
      <c r="Z44">
        <v>6369000</v>
      </c>
      <c r="AA44">
        <v>6135000</v>
      </c>
      <c r="AB44">
        <v>1239000</v>
      </c>
      <c r="AC44">
        <v>1133000</v>
      </c>
      <c r="AD44">
        <v>644000</v>
      </c>
      <c r="AE44">
        <v>562000</v>
      </c>
      <c r="AF44">
        <v>-4692000</v>
      </c>
      <c r="AG44">
        <v>-1110000</v>
      </c>
      <c r="AH44">
        <v>2090000</v>
      </c>
      <c r="AI44">
        <v>343000</v>
      </c>
      <c r="AJ44">
        <v>3383000</v>
      </c>
      <c r="AK44">
        <v>3917000</v>
      </c>
      <c r="AL44">
        <v>5261000</v>
      </c>
      <c r="AM44">
        <v>3248000</v>
      </c>
    </row>
    <row r="45" spans="1:39" x14ac:dyDescent="0.25">
      <c r="A45" s="10" t="s">
        <v>205</v>
      </c>
      <c r="B45" s="11"/>
    </row>
    <row r="46" spans="1:39" x14ac:dyDescent="0.25">
      <c r="A46" s="10" t="s">
        <v>206</v>
      </c>
      <c r="B46" s="11">
        <v>-11011000</v>
      </c>
      <c r="C46">
        <v>-7044146.6448256839</v>
      </c>
      <c r="D46">
        <v>-19770397.515412267</v>
      </c>
      <c r="E46">
        <v>2025986.3904107425</v>
      </c>
      <c r="F46">
        <v>293000</v>
      </c>
      <c r="G46">
        <v>318020.16455194959</v>
      </c>
      <c r="H46">
        <v>-97079710.573466688</v>
      </c>
      <c r="I46">
        <v>-69401812.862209842</v>
      </c>
      <c r="J46">
        <v>-50444724.898568109</v>
      </c>
      <c r="K46">
        <v>-31041052.461590961</v>
      </c>
      <c r="L46">
        <v>68742050.23179768</v>
      </c>
      <c r="M46">
        <v>-2756000</v>
      </c>
      <c r="N46">
        <v>2643000</v>
      </c>
      <c r="O46">
        <v>2231000</v>
      </c>
      <c r="P46">
        <v>-2222000</v>
      </c>
      <c r="Q46">
        <v>-8483000</v>
      </c>
      <c r="R46">
        <v>-2010000</v>
      </c>
      <c r="S46">
        <v>-1907000</v>
      </c>
      <c r="T46">
        <v>-13681000</v>
      </c>
      <c r="U46">
        <v>-6083000</v>
      </c>
      <c r="V46">
        <v>-4789000</v>
      </c>
      <c r="W46">
        <v>-2451000</v>
      </c>
      <c r="X46">
        <v>-10624000</v>
      </c>
      <c r="Y46">
        <v>-7847000</v>
      </c>
      <c r="Z46">
        <v>-6212000</v>
      </c>
      <c r="AA46">
        <v>-2294000</v>
      </c>
      <c r="AB46">
        <v>12175000</v>
      </c>
      <c r="AC46">
        <v>5535000</v>
      </c>
      <c r="AD46">
        <v>900000</v>
      </c>
      <c r="AE46">
        <v>-1317000</v>
      </c>
      <c r="AF46">
        <v>13375000</v>
      </c>
      <c r="AG46">
        <v>8034000</v>
      </c>
      <c r="AH46">
        <v>4848000</v>
      </c>
      <c r="AI46">
        <v>-119000</v>
      </c>
      <c r="AJ46">
        <v>5686000</v>
      </c>
      <c r="AK46">
        <v>4283000</v>
      </c>
      <c r="AL46">
        <v>310000</v>
      </c>
      <c r="AM46">
        <v>-1393000</v>
      </c>
    </row>
    <row r="47" spans="1:39" x14ac:dyDescent="0.25">
      <c r="A47" s="10" t="s">
        <v>207</v>
      </c>
      <c r="B47" s="11">
        <v>9130225000</v>
      </c>
      <c r="C47">
        <v>8359201367.8693876</v>
      </c>
      <c r="D47">
        <v>7835921508.8636837</v>
      </c>
      <c r="E47">
        <v>-40191155.963992789</v>
      </c>
      <c r="F47">
        <v>-3532300000</v>
      </c>
      <c r="G47">
        <v>-6406041304.7866278</v>
      </c>
      <c r="H47">
        <v>2573895743.43186</v>
      </c>
      <c r="I47">
        <v>5352902782.3217859</v>
      </c>
      <c r="J47">
        <v>1575905738.3466494</v>
      </c>
      <c r="K47">
        <v>535054458.77717394</v>
      </c>
      <c r="L47">
        <v>-1094955678.521873</v>
      </c>
      <c r="M47">
        <v>2839378000</v>
      </c>
      <c r="N47">
        <v>2366971000</v>
      </c>
      <c r="O47">
        <v>601322000</v>
      </c>
      <c r="P47">
        <v>-1023483000</v>
      </c>
      <c r="Q47">
        <v>-1482834000</v>
      </c>
      <c r="R47">
        <v>-798590000</v>
      </c>
      <c r="S47">
        <v>-310727000</v>
      </c>
      <c r="T47">
        <v>-780047000</v>
      </c>
      <c r="U47">
        <v>-1896735000</v>
      </c>
      <c r="V47">
        <v>-496851000</v>
      </c>
      <c r="W47">
        <v>386778000</v>
      </c>
      <c r="X47">
        <v>-891292000</v>
      </c>
      <c r="Y47">
        <v>-1068089000</v>
      </c>
      <c r="Z47">
        <v>-746707000</v>
      </c>
      <c r="AA47">
        <v>-387143000</v>
      </c>
      <c r="AB47">
        <v>-87993000</v>
      </c>
      <c r="AC47">
        <v>351662000</v>
      </c>
      <c r="AD47">
        <v>171853000</v>
      </c>
      <c r="AE47">
        <v>230439000</v>
      </c>
      <c r="AF47">
        <v>-609111000</v>
      </c>
      <c r="AG47">
        <v>-709019000</v>
      </c>
      <c r="AH47">
        <v>-488797000</v>
      </c>
      <c r="AI47">
        <v>-15196000</v>
      </c>
      <c r="AJ47">
        <v>931595000</v>
      </c>
      <c r="AK47">
        <v>727002000</v>
      </c>
      <c r="AL47">
        <v>273447000</v>
      </c>
      <c r="AM47">
        <v>-73637000</v>
      </c>
    </row>
    <row r="48" spans="1:39" x14ac:dyDescent="0.25">
      <c r="A48" s="10" t="s">
        <v>208</v>
      </c>
      <c r="B48" s="11">
        <v>-5357162000</v>
      </c>
      <c r="C48">
        <v>-3365243798.3984785</v>
      </c>
      <c r="D48">
        <v>-12112276575.906576</v>
      </c>
      <c r="E48">
        <v>5780237123.4482384</v>
      </c>
      <c r="F48">
        <v>3525682000</v>
      </c>
      <c r="G48">
        <v>2594861151.115684</v>
      </c>
      <c r="H48">
        <v>13341173916.894825</v>
      </c>
      <c r="I48">
        <v>10503283799.015108</v>
      </c>
      <c r="J48">
        <v>4007579704.2888131</v>
      </c>
      <c r="K48">
        <v>3143698948.1740813</v>
      </c>
      <c r="L48">
        <v>18037527887.9519</v>
      </c>
      <c r="M48">
        <v>-676908000</v>
      </c>
      <c r="N48">
        <v>-554124000</v>
      </c>
      <c r="O48">
        <v>-220022000</v>
      </c>
      <c r="P48">
        <v>-459564000</v>
      </c>
      <c r="Q48">
        <v>-540768000</v>
      </c>
      <c r="R48">
        <v>-364063000</v>
      </c>
      <c r="S48">
        <v>-143550000</v>
      </c>
      <c r="T48">
        <v>-279105000</v>
      </c>
      <c r="U48">
        <v>-227001000</v>
      </c>
      <c r="V48">
        <v>-117812000</v>
      </c>
      <c r="W48">
        <v>-65624000</v>
      </c>
      <c r="X48">
        <v>-237308000</v>
      </c>
      <c r="Y48">
        <v>-160897000</v>
      </c>
      <c r="Z48">
        <v>-141725000</v>
      </c>
      <c r="AA48">
        <v>-26814000</v>
      </c>
      <c r="AB48">
        <v>-301833000</v>
      </c>
      <c r="AC48">
        <v>-286976000</v>
      </c>
      <c r="AD48">
        <v>-171050000</v>
      </c>
      <c r="AE48">
        <v>-96491000</v>
      </c>
      <c r="AF48">
        <v>-167094000</v>
      </c>
      <c r="AG48">
        <v>-142283000</v>
      </c>
      <c r="AH48">
        <v>-91406000</v>
      </c>
      <c r="AI48">
        <v>-53245000</v>
      </c>
      <c r="AJ48">
        <v>-45247000</v>
      </c>
      <c r="AK48">
        <v>-17987000</v>
      </c>
      <c r="AL48">
        <v>1203000</v>
      </c>
      <c r="AM48">
        <v>-18222000</v>
      </c>
    </row>
    <row r="49" spans="1:39" x14ac:dyDescent="0.25">
      <c r="A49" s="29" t="s">
        <v>209</v>
      </c>
      <c r="B49" s="13">
        <v>15942461000</v>
      </c>
      <c r="C49">
        <v>6114987130.0542526</v>
      </c>
      <c r="D49">
        <v>29938215534.856865</v>
      </c>
      <c r="E49">
        <v>4152970806.1603389</v>
      </c>
      <c r="F49">
        <v>-588157000</v>
      </c>
      <c r="G49">
        <v>-3349668230.8059392</v>
      </c>
      <c r="H49">
        <v>19071656013.752773</v>
      </c>
      <c r="I49">
        <v>7995351947.1807032</v>
      </c>
      <c r="J49">
        <v>2817690295.0558147</v>
      </c>
      <c r="K49">
        <v>6337221984.3746367</v>
      </c>
      <c r="L49">
        <v>23782370832.492554</v>
      </c>
      <c r="M49">
        <v>1142595000</v>
      </c>
      <c r="N49">
        <v>768698000</v>
      </c>
      <c r="O49">
        <v>-882272000</v>
      </c>
      <c r="P49">
        <v>2998265000</v>
      </c>
      <c r="Q49">
        <v>-311106000</v>
      </c>
      <c r="R49">
        <v>-522290000</v>
      </c>
      <c r="S49">
        <v>-551855000</v>
      </c>
      <c r="T49">
        <v>2047617000</v>
      </c>
      <c r="U49">
        <v>-443366000</v>
      </c>
      <c r="V49">
        <v>-1054455000</v>
      </c>
      <c r="W49">
        <v>-624230000</v>
      </c>
      <c r="X49">
        <v>1216372000</v>
      </c>
      <c r="Y49">
        <v>-1416195000</v>
      </c>
      <c r="Z49">
        <v>-1216439000</v>
      </c>
      <c r="AA49">
        <v>-328201000</v>
      </c>
      <c r="AB49">
        <v>511227000</v>
      </c>
      <c r="AC49">
        <v>-799981000</v>
      </c>
      <c r="AD49">
        <v>-463275000</v>
      </c>
      <c r="AE49">
        <v>-574247000</v>
      </c>
      <c r="AF49">
        <v>777460000</v>
      </c>
      <c r="AG49">
        <v>-322704000</v>
      </c>
      <c r="AH49">
        <v>-133457000</v>
      </c>
      <c r="AI49">
        <v>-123760000</v>
      </c>
      <c r="AJ49">
        <v>1109116000</v>
      </c>
      <c r="AK49">
        <v>588466000</v>
      </c>
      <c r="AL49">
        <v>165777000</v>
      </c>
      <c r="AM49">
        <v>-178968000</v>
      </c>
    </row>
    <row r="50" spans="1:39" x14ac:dyDescent="0.25">
      <c r="A50" t="s">
        <v>210</v>
      </c>
      <c r="B50" s="2"/>
      <c r="C50" s="14"/>
    </row>
    <row r="51" spans="1:39" x14ac:dyDescent="0.25">
      <c r="A51" t="s">
        <v>211</v>
      </c>
      <c r="B51" s="2"/>
      <c r="C51" s="14">
        <f>SUM(B50:B66)-B54</f>
        <v>-2307256000</v>
      </c>
    </row>
    <row r="52" spans="1:39" x14ac:dyDescent="0.25">
      <c r="A52" t="s">
        <v>212</v>
      </c>
      <c r="B52" s="2"/>
    </row>
    <row r="53" spans="1:39" x14ac:dyDescent="0.25">
      <c r="A53" t="s">
        <v>213</v>
      </c>
      <c r="B53" s="2"/>
    </row>
    <row r="54" spans="1:39" x14ac:dyDescent="0.25">
      <c r="A54" t="s">
        <v>214</v>
      </c>
      <c r="B54" s="2">
        <v>-112242000</v>
      </c>
      <c r="C54">
        <v>-92967894.770686597</v>
      </c>
      <c r="D54">
        <v>-63087927.675029337</v>
      </c>
      <c r="E54">
        <v>-14759695.221205309</v>
      </c>
      <c r="F54">
        <v>-10839000</v>
      </c>
      <c r="G54">
        <v>2940626.4548903606</v>
      </c>
      <c r="H54">
        <v>-1902727791.7565327</v>
      </c>
      <c r="I54">
        <v>-1229364574.0412328</v>
      </c>
      <c r="J54">
        <v>-1278937792.7727883</v>
      </c>
      <c r="K54">
        <v>-786164.46596587019</v>
      </c>
      <c r="L54">
        <v>-15287054.152459422</v>
      </c>
      <c r="M54">
        <v>-2401000</v>
      </c>
      <c r="N54">
        <v>-2401000</v>
      </c>
      <c r="O54">
        <v>-2139000</v>
      </c>
      <c r="P54">
        <v>-4634000</v>
      </c>
      <c r="Q54">
        <v>-4634000</v>
      </c>
      <c r="R54">
        <v>-3946000</v>
      </c>
      <c r="S54">
        <v>-4202000</v>
      </c>
      <c r="T54">
        <v>-12847000</v>
      </c>
      <c r="U54">
        <v>-13005000</v>
      </c>
      <c r="V54">
        <v>-12864000</v>
      </c>
      <c r="W54">
        <v>-12847000</v>
      </c>
      <c r="X54">
        <v>-4859000</v>
      </c>
      <c r="Y54">
        <v>-5029000</v>
      </c>
      <c r="Z54">
        <v>-2176000</v>
      </c>
      <c r="AA54">
        <v>-2836000</v>
      </c>
      <c r="AB54">
        <v>-8903000</v>
      </c>
      <c r="AC54">
        <v>-716000</v>
      </c>
      <c r="AD54">
        <v>-718000</v>
      </c>
      <c r="AE54">
        <v>-717000</v>
      </c>
      <c r="AF54">
        <v>-1746000</v>
      </c>
      <c r="AG54">
        <v>-427000</v>
      </c>
      <c r="AH54">
        <v>-427000</v>
      </c>
      <c r="AI54">
        <v>-427000</v>
      </c>
      <c r="AJ54">
        <v>-3754000</v>
      </c>
      <c r="AK54">
        <v>-2633000</v>
      </c>
      <c r="AL54">
        <v>-2633000</v>
      </c>
      <c r="AM54">
        <v>-2633000</v>
      </c>
    </row>
    <row r="55" spans="1:39" x14ac:dyDescent="0.25">
      <c r="A55" t="s">
        <v>215</v>
      </c>
      <c r="B55" s="2"/>
    </row>
    <row r="56" spans="1:39" x14ac:dyDescent="0.25">
      <c r="A56" t="s">
        <v>216</v>
      </c>
      <c r="B56" s="2"/>
    </row>
    <row r="57" spans="1:39" x14ac:dyDescent="0.25">
      <c r="A57" t="s">
        <v>217</v>
      </c>
      <c r="B57" s="2"/>
    </row>
    <row r="58" spans="1:39" x14ac:dyDescent="0.25">
      <c r="A58" t="s">
        <v>218</v>
      </c>
      <c r="B58" s="2"/>
    </row>
    <row r="59" spans="1:39" x14ac:dyDescent="0.25">
      <c r="A59" t="s">
        <v>219</v>
      </c>
      <c r="B59" s="2"/>
    </row>
    <row r="60" spans="1:39" x14ac:dyDescent="0.25">
      <c r="A60" t="s">
        <v>220</v>
      </c>
      <c r="B60" s="2"/>
    </row>
    <row r="61" spans="1:39" x14ac:dyDescent="0.25">
      <c r="A61" t="s">
        <v>221</v>
      </c>
      <c r="B61" s="2"/>
    </row>
    <row r="62" spans="1:39" x14ac:dyDescent="0.25">
      <c r="A62" t="s">
        <v>222</v>
      </c>
      <c r="B62" s="2">
        <v>-211218000</v>
      </c>
      <c r="C62">
        <v>-475497389.63478404</v>
      </c>
      <c r="D62">
        <v>-984437454.94403172</v>
      </c>
      <c r="E62">
        <v>-430023670.6740666</v>
      </c>
      <c r="F62">
        <v>-246583000</v>
      </c>
      <c r="G62">
        <v>-153134129.70226994</v>
      </c>
      <c r="H62">
        <v>-551856023.6538713</v>
      </c>
      <c r="I62">
        <v>-372240902.15979987</v>
      </c>
      <c r="J62">
        <v>-297289361.37783551</v>
      </c>
      <c r="K62">
        <v>-205723283.21500191</v>
      </c>
      <c r="L62">
        <v>-1280740132.0117459</v>
      </c>
      <c r="M62">
        <v>-89225000</v>
      </c>
      <c r="N62">
        <v>-50385000</v>
      </c>
      <c r="O62">
        <v>-19895000</v>
      </c>
      <c r="P62">
        <v>-77292000</v>
      </c>
      <c r="Q62">
        <v>-64284000</v>
      </c>
      <c r="R62">
        <v>-47867000</v>
      </c>
      <c r="S62">
        <v>-15575000</v>
      </c>
      <c r="T62">
        <v>-40376000</v>
      </c>
      <c r="U62">
        <v>-30037000</v>
      </c>
      <c r="V62">
        <v>-19368000</v>
      </c>
      <c r="W62">
        <v>-12555000</v>
      </c>
      <c r="X62">
        <v>-44141000</v>
      </c>
      <c r="Y62">
        <v>-36113000</v>
      </c>
      <c r="Z62">
        <v>-19021000</v>
      </c>
      <c r="AA62">
        <v>-11561000</v>
      </c>
      <c r="AB62">
        <v>-25426000</v>
      </c>
      <c r="AC62">
        <v>-19159000</v>
      </c>
      <c r="AD62">
        <v>-10166000</v>
      </c>
      <c r="AE62">
        <v>-4625000</v>
      </c>
      <c r="AF62">
        <v>-16724000</v>
      </c>
      <c r="AG62">
        <v>-13146000</v>
      </c>
      <c r="AH62">
        <v>-6902000</v>
      </c>
      <c r="AI62">
        <v>-4062000</v>
      </c>
      <c r="AJ62">
        <v>-29233000</v>
      </c>
      <c r="AK62">
        <v>-25174000</v>
      </c>
      <c r="AL62">
        <v>-8814000</v>
      </c>
      <c r="AM62">
        <v>-2859000</v>
      </c>
    </row>
    <row r="63" spans="1:39" x14ac:dyDescent="0.25">
      <c r="A63" t="s">
        <v>223</v>
      </c>
      <c r="B63" s="2">
        <v>-1983796000</v>
      </c>
      <c r="C63">
        <v>-1064239639.732087</v>
      </c>
      <c r="D63">
        <v>-3902121101.6334209</v>
      </c>
      <c r="E63">
        <v>-2588030228.0932326</v>
      </c>
      <c r="F63">
        <v>-1719032000</v>
      </c>
      <c r="G63">
        <v>-850631855.60583341</v>
      </c>
      <c r="H63">
        <v>-2509412395.5486021</v>
      </c>
      <c r="I63">
        <v>-1625356880.9101563</v>
      </c>
      <c r="J63">
        <v>-1204943283.0435176</v>
      </c>
      <c r="K63">
        <v>-566520069.33025479</v>
      </c>
      <c r="L63">
        <v>-2197137964.4612718</v>
      </c>
      <c r="M63">
        <v>-492297000</v>
      </c>
      <c r="N63">
        <v>-323218000</v>
      </c>
      <c r="O63">
        <v>-143033000</v>
      </c>
      <c r="P63">
        <v>-483788000</v>
      </c>
      <c r="Q63">
        <v>-273997000</v>
      </c>
      <c r="R63">
        <v>-166265000</v>
      </c>
      <c r="S63">
        <v>-63177000</v>
      </c>
      <c r="T63">
        <v>-275794000</v>
      </c>
      <c r="U63">
        <v>-179882000</v>
      </c>
      <c r="V63">
        <v>-124920000</v>
      </c>
      <c r="W63">
        <v>-66873000</v>
      </c>
      <c r="X63">
        <v>-190520000</v>
      </c>
      <c r="Y63">
        <v>-128653000</v>
      </c>
      <c r="Z63">
        <v>-92533000</v>
      </c>
      <c r="AA63">
        <v>-51557000</v>
      </c>
      <c r="AB63">
        <v>-204698000</v>
      </c>
      <c r="AC63">
        <v>-93116000</v>
      </c>
      <c r="AD63">
        <v>-54861000</v>
      </c>
      <c r="AE63">
        <v>-25440000</v>
      </c>
      <c r="AF63">
        <v>-96458000</v>
      </c>
      <c r="AG63">
        <v>-63685000</v>
      </c>
      <c r="AH63">
        <v>-44341000</v>
      </c>
      <c r="AI63">
        <v>-17796000</v>
      </c>
      <c r="AJ63">
        <v>-95602000</v>
      </c>
      <c r="AK63">
        <v>-56462000</v>
      </c>
      <c r="AL63">
        <v>-35921000</v>
      </c>
      <c r="AM63">
        <v>-15400000</v>
      </c>
    </row>
    <row r="64" spans="1:39" x14ac:dyDescent="0.25">
      <c r="A64" t="s">
        <v>214</v>
      </c>
      <c r="B64" s="2">
        <v>-112242000</v>
      </c>
      <c r="C64">
        <v>-92967894.770686597</v>
      </c>
      <c r="D64">
        <v>-63087927.675029337</v>
      </c>
      <c r="E64">
        <v>-14759695.221205309</v>
      </c>
      <c r="F64">
        <v>-10839000</v>
      </c>
      <c r="G64">
        <v>2940626.4548903606</v>
      </c>
      <c r="H64">
        <v>-1902727791.7565327</v>
      </c>
      <c r="I64">
        <v>-1229364574.0412328</v>
      </c>
      <c r="J64">
        <v>-1278937792.7727883</v>
      </c>
      <c r="K64">
        <v>-786164.46596587019</v>
      </c>
      <c r="L64">
        <v>-15287054.152459422</v>
      </c>
      <c r="M64">
        <v>-2401000</v>
      </c>
      <c r="N64">
        <v>-2401000</v>
      </c>
      <c r="O64">
        <v>-2139000</v>
      </c>
      <c r="P64">
        <v>-4634000</v>
      </c>
      <c r="Q64">
        <v>-4634000</v>
      </c>
      <c r="R64">
        <v>-3946000</v>
      </c>
      <c r="S64">
        <v>-4202000</v>
      </c>
      <c r="T64">
        <v>-12847000</v>
      </c>
      <c r="U64">
        <v>-13005000</v>
      </c>
      <c r="V64">
        <v>-12864000</v>
      </c>
      <c r="W64">
        <v>-12847000</v>
      </c>
      <c r="X64">
        <v>-4859000</v>
      </c>
      <c r="Y64">
        <v>-5029000</v>
      </c>
      <c r="Z64">
        <v>-2176000</v>
      </c>
      <c r="AA64">
        <v>-2836000</v>
      </c>
      <c r="AB64">
        <v>-8903000</v>
      </c>
      <c r="AC64">
        <v>-716000</v>
      </c>
      <c r="AD64">
        <v>-718000</v>
      </c>
      <c r="AE64">
        <v>-717000</v>
      </c>
      <c r="AF64">
        <v>-1746000</v>
      </c>
      <c r="AG64">
        <v>-427000</v>
      </c>
      <c r="AH64">
        <v>-427000</v>
      </c>
      <c r="AI64">
        <v>-427000</v>
      </c>
      <c r="AJ64">
        <v>-3754000</v>
      </c>
      <c r="AK64">
        <v>-2633000</v>
      </c>
      <c r="AL64">
        <v>-2633000</v>
      </c>
      <c r="AM64">
        <v>-2633000</v>
      </c>
    </row>
    <row r="65" spans="1:39" x14ac:dyDescent="0.25">
      <c r="A65" t="s">
        <v>224</v>
      </c>
      <c r="B65" s="2"/>
    </row>
    <row r="66" spans="1:39" x14ac:dyDescent="0.25">
      <c r="A66" t="s">
        <v>225</v>
      </c>
      <c r="B66" s="2" t="s">
        <v>267</v>
      </c>
    </row>
    <row r="67" spans="1:39" x14ac:dyDescent="0.25">
      <c r="B67" s="2"/>
    </row>
    <row r="68" spans="1:39" ht="18.75" x14ac:dyDescent="0.3">
      <c r="A68" s="30" t="s">
        <v>226</v>
      </c>
      <c r="B68" s="31">
        <v>-12818755000</v>
      </c>
      <c r="C68">
        <v>-6122497706.2737551</v>
      </c>
      <c r="D68">
        <v>-24907370995.444302</v>
      </c>
      <c r="E68">
        <v>-18320616760.890049</v>
      </c>
      <c r="F68">
        <v>-11353294000</v>
      </c>
      <c r="G68">
        <v>-3538058075.950438</v>
      </c>
      <c r="H68">
        <v>-19677942759.441994</v>
      </c>
      <c r="I68">
        <v>-16740980962.07683</v>
      </c>
      <c r="J68">
        <v>-14234197336.54265</v>
      </c>
      <c r="K68">
        <v>-8278945735.7710104</v>
      </c>
      <c r="L68">
        <v>-19969720568.533596</v>
      </c>
      <c r="M68">
        <v>-4229864000</v>
      </c>
      <c r="N68">
        <v>-2759740000</v>
      </c>
      <c r="O68">
        <v>-1153081000</v>
      </c>
      <c r="P68">
        <v>-3505944000</v>
      </c>
      <c r="Q68">
        <v>-1898660000</v>
      </c>
      <c r="R68">
        <v>-1103822000</v>
      </c>
      <c r="S68">
        <v>-484930000</v>
      </c>
      <c r="T68">
        <v>-2001277000</v>
      </c>
      <c r="U68">
        <v>-1186765000</v>
      </c>
      <c r="V68">
        <v>-788054000</v>
      </c>
      <c r="W68">
        <v>-389033000</v>
      </c>
      <c r="X68">
        <v>-1695069000</v>
      </c>
      <c r="Y68">
        <v>-1018302000</v>
      </c>
      <c r="Z68">
        <v>-705215000</v>
      </c>
      <c r="AA68">
        <v>-375207000</v>
      </c>
      <c r="AB68">
        <v>-1746003000</v>
      </c>
      <c r="AC68">
        <v>-458430000</v>
      </c>
      <c r="AD68">
        <v>-250921000</v>
      </c>
      <c r="AE68">
        <v>-139283000</v>
      </c>
      <c r="AF68">
        <v>-568246000</v>
      </c>
      <c r="AG68">
        <v>-364352000</v>
      </c>
      <c r="AH68">
        <v>-233312000</v>
      </c>
      <c r="AI68">
        <v>-107850000</v>
      </c>
      <c r="AJ68">
        <v>-359443000</v>
      </c>
      <c r="AK68">
        <v>-184060000</v>
      </c>
      <c r="AL68">
        <v>-104537000</v>
      </c>
      <c r="AM68">
        <v>-46453000</v>
      </c>
    </row>
    <row r="69" spans="1:39" x14ac:dyDescent="0.25">
      <c r="A69" s="10" t="s">
        <v>227</v>
      </c>
      <c r="B69" s="11"/>
    </row>
    <row r="70" spans="1:39" x14ac:dyDescent="0.25">
      <c r="A70" s="10" t="s">
        <v>228</v>
      </c>
      <c r="B70" s="11"/>
      <c r="C70" s="14"/>
    </row>
    <row r="71" spans="1:39" x14ac:dyDescent="0.25">
      <c r="A71" s="10" t="s">
        <v>229</v>
      </c>
      <c r="B71" s="11"/>
    </row>
    <row r="72" spans="1:39" x14ac:dyDescent="0.25">
      <c r="A72" s="10" t="s">
        <v>230</v>
      </c>
      <c r="B72" s="11"/>
    </row>
    <row r="73" spans="1:39" x14ac:dyDescent="0.25">
      <c r="A73" s="10" t="s">
        <v>231</v>
      </c>
      <c r="B73" s="11"/>
    </row>
    <row r="74" spans="1:39" x14ac:dyDescent="0.25">
      <c r="A74" s="10" t="s">
        <v>232</v>
      </c>
      <c r="B74" s="11"/>
    </row>
    <row r="75" spans="1:39" x14ac:dyDescent="0.25">
      <c r="A75" s="10" t="s">
        <v>233</v>
      </c>
      <c r="B75" s="11"/>
    </row>
    <row r="76" spans="1:39" x14ac:dyDescent="0.25">
      <c r="A76" s="10" t="s">
        <v>220</v>
      </c>
      <c r="B76" s="11"/>
    </row>
    <row r="77" spans="1:39" x14ac:dyDescent="0.25">
      <c r="A77" s="10" t="s">
        <v>219</v>
      </c>
      <c r="B77" s="11"/>
    </row>
    <row r="78" spans="1:39" x14ac:dyDescent="0.25">
      <c r="A78" s="10" t="s">
        <v>234</v>
      </c>
      <c r="B78" s="11">
        <v>153170000</v>
      </c>
      <c r="C78">
        <v>44295968.653225891</v>
      </c>
      <c r="D78">
        <v>775171093.28192806</v>
      </c>
      <c r="E78">
        <v>484335976.5770973</v>
      </c>
      <c r="F78">
        <v>329940000</v>
      </c>
      <c r="G78">
        <v>226542724.28579649</v>
      </c>
      <c r="H78">
        <v>518362438.43847203</v>
      </c>
      <c r="I78">
        <v>-38756598.893181749</v>
      </c>
      <c r="J78">
        <v>39187068.840032943</v>
      </c>
      <c r="K78">
        <v>31702777.486947708</v>
      </c>
      <c r="L78">
        <v>200921585.0175865</v>
      </c>
      <c r="M78">
        <v>5532000</v>
      </c>
      <c r="N78">
        <v>1222000</v>
      </c>
      <c r="O78">
        <v>263000</v>
      </c>
      <c r="P78">
        <v>6400000</v>
      </c>
      <c r="Q78">
        <v>1875000</v>
      </c>
      <c r="R78">
        <v>1139000</v>
      </c>
      <c r="S78">
        <v>1223000</v>
      </c>
      <c r="T78">
        <v>13249000</v>
      </c>
      <c r="U78">
        <v>834000</v>
      </c>
      <c r="V78">
        <v>881000</v>
      </c>
      <c r="W78">
        <v>31000</v>
      </c>
      <c r="X78">
        <v>2939000</v>
      </c>
      <c r="Y78">
        <v>392000</v>
      </c>
      <c r="Z78">
        <v>184000</v>
      </c>
      <c r="AA78">
        <v>182000</v>
      </c>
      <c r="AB78">
        <v>1057000</v>
      </c>
      <c r="AC78">
        <v>89000</v>
      </c>
      <c r="AD78">
        <v>55000</v>
      </c>
      <c r="AE78">
        <v>39000</v>
      </c>
      <c r="AF78">
        <v>1279000</v>
      </c>
      <c r="AG78">
        <v>1227000</v>
      </c>
      <c r="AH78">
        <v>1086000</v>
      </c>
      <c r="AI78">
        <v>322000</v>
      </c>
      <c r="AJ78">
        <v>786000</v>
      </c>
      <c r="AK78">
        <v>459000</v>
      </c>
      <c r="AL78">
        <v>367000</v>
      </c>
      <c r="AM78">
        <v>245000</v>
      </c>
    </row>
    <row r="79" spans="1:39" x14ac:dyDescent="0.25">
      <c r="A79" s="10" t="s">
        <v>235</v>
      </c>
      <c r="B79" s="11">
        <v>-13012616000</v>
      </c>
      <c r="C79">
        <v>-6311411224.6225491</v>
      </c>
      <c r="D79">
        <v>-24850318610.191654</v>
      </c>
      <c r="E79">
        <v>-18793778814.976089</v>
      </c>
      <c r="F79">
        <v>-11880462000</v>
      </c>
      <c r="G79">
        <v>-3852869417.0420585</v>
      </c>
      <c r="H79">
        <v>-20968223421.981339</v>
      </c>
      <c r="I79">
        <v>-16567724408.671661</v>
      </c>
      <c r="J79">
        <v>-14107504139.827276</v>
      </c>
      <c r="K79">
        <v>-8271236346.4269209</v>
      </c>
      <c r="L79">
        <v>-20498314052.910107</v>
      </c>
      <c r="M79">
        <v>-4055045000</v>
      </c>
      <c r="N79">
        <v>-2622973000</v>
      </c>
      <c r="O79">
        <v>-1083376000</v>
      </c>
      <c r="P79">
        <v>-3439341000</v>
      </c>
      <c r="Q79">
        <v>-1923050000</v>
      </c>
      <c r="R79">
        <v>-1175021000</v>
      </c>
      <c r="S79">
        <v>-536763000</v>
      </c>
      <c r="T79">
        <v>-2080789000</v>
      </c>
      <c r="U79">
        <v>-1209140000</v>
      </c>
      <c r="V79">
        <v>-781503000</v>
      </c>
      <c r="W79">
        <v>-403896000</v>
      </c>
      <c r="X79">
        <v>-1656858000</v>
      </c>
      <c r="Y79">
        <v>-954652000</v>
      </c>
      <c r="Z79">
        <v>-639062000</v>
      </c>
      <c r="AA79">
        <v>-375866000</v>
      </c>
      <c r="AB79">
        <v>-1738434000</v>
      </c>
      <c r="AC79">
        <v>-434552000</v>
      </c>
      <c r="AD79">
        <v>-242201000</v>
      </c>
      <c r="AE79">
        <v>-135201000</v>
      </c>
      <c r="AF79">
        <v>-561464000</v>
      </c>
      <c r="AG79">
        <v>-361747000</v>
      </c>
      <c r="AH79">
        <v>-231829000</v>
      </c>
      <c r="AI79">
        <v>-103619000</v>
      </c>
      <c r="AJ79">
        <v>-352576000</v>
      </c>
      <c r="AK79">
        <v>-187581000</v>
      </c>
      <c r="AL79">
        <v>-111391000</v>
      </c>
      <c r="AM79">
        <v>-54818000</v>
      </c>
    </row>
    <row r="80" spans="1:39" x14ac:dyDescent="0.25">
      <c r="A80" s="10" t="s">
        <v>236</v>
      </c>
      <c r="B80" s="11"/>
    </row>
    <row r="81" spans="1:39" x14ac:dyDescent="0.25">
      <c r="A81" s="10" t="s">
        <v>237</v>
      </c>
      <c r="B81" s="11"/>
    </row>
    <row r="82" spans="1:39" x14ac:dyDescent="0.25">
      <c r="A82" s="10" t="s">
        <v>238</v>
      </c>
      <c r="B82" s="11"/>
    </row>
    <row r="83" spans="1:39" x14ac:dyDescent="0.25">
      <c r="A83" s="10" t="s">
        <v>239</v>
      </c>
      <c r="B83" s="11"/>
    </row>
    <row r="84" spans="1:39" x14ac:dyDescent="0.25">
      <c r="A84" s="10" t="s">
        <v>240</v>
      </c>
      <c r="B84" s="11"/>
    </row>
    <row r="85" spans="1:39" x14ac:dyDescent="0.25">
      <c r="A85" s="10" t="s">
        <v>241</v>
      </c>
      <c r="B85" s="11"/>
    </row>
    <row r="86" spans="1:39" x14ac:dyDescent="0.25">
      <c r="A86" s="10" t="s">
        <v>242</v>
      </c>
      <c r="B86" s="11"/>
    </row>
    <row r="87" spans="1:39" x14ac:dyDescent="0.25">
      <c r="A87" s="10" t="s">
        <v>243</v>
      </c>
      <c r="B87" s="11"/>
    </row>
    <row r="88" spans="1:39" x14ac:dyDescent="0.25">
      <c r="A88" s="10" t="s">
        <v>244</v>
      </c>
      <c r="B88" s="11"/>
    </row>
    <row r="89" spans="1:39" x14ac:dyDescent="0.25">
      <c r="A89" s="10" t="s">
        <v>245</v>
      </c>
      <c r="B89" s="11"/>
    </row>
    <row r="90" spans="1:39" x14ac:dyDescent="0.25">
      <c r="A90" s="10" t="s">
        <v>246</v>
      </c>
      <c r="B90" s="11"/>
      <c r="C90">
        <v>0</v>
      </c>
      <c r="D90">
        <v>0</v>
      </c>
      <c r="E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6039000</v>
      </c>
      <c r="U90">
        <v>6039000</v>
      </c>
      <c r="V90">
        <v>6039000</v>
      </c>
      <c r="W90">
        <v>0</v>
      </c>
      <c r="X90">
        <v>-6039000</v>
      </c>
      <c r="Y90">
        <v>1155000</v>
      </c>
      <c r="Z90">
        <v>1155000</v>
      </c>
      <c r="AA90">
        <v>0</v>
      </c>
      <c r="AB90">
        <v>0</v>
      </c>
    </row>
    <row r="91" spans="1:39" x14ac:dyDescent="0.25">
      <c r="A91" s="10" t="s">
        <v>247</v>
      </c>
      <c r="B91" s="11"/>
    </row>
    <row r="92" spans="1:39" x14ac:dyDescent="0.25">
      <c r="A92" s="10" t="s">
        <v>248</v>
      </c>
      <c r="B92" s="11"/>
    </row>
    <row r="93" spans="1:39" x14ac:dyDescent="0.25">
      <c r="A93" s="10" t="s">
        <v>211</v>
      </c>
      <c r="B93" s="11">
        <v>66546000</v>
      </c>
      <c r="D93">
        <v>52211583.878117375</v>
      </c>
      <c r="E93">
        <v>55456727.835924894</v>
      </c>
      <c r="F93">
        <v>60435000</v>
      </c>
      <c r="H93">
        <v>25923780.607550617</v>
      </c>
      <c r="I93">
        <v>24417227.65383032</v>
      </c>
      <c r="J93">
        <v>25117699.740006644</v>
      </c>
      <c r="K93">
        <v>0</v>
      </c>
      <c r="L93">
        <v>16614458.964816229</v>
      </c>
      <c r="M93">
        <v>4958000</v>
      </c>
      <c r="N93">
        <v>4959000</v>
      </c>
      <c r="O93">
        <v>0</v>
      </c>
      <c r="P93">
        <v>6997000</v>
      </c>
      <c r="Q93">
        <v>7172000</v>
      </c>
      <c r="R93">
        <v>0</v>
      </c>
      <c r="S93">
        <v>0</v>
      </c>
      <c r="T93">
        <v>5436000</v>
      </c>
      <c r="U93">
        <v>5214000</v>
      </c>
      <c r="V93">
        <v>5214000</v>
      </c>
      <c r="W93">
        <v>3409000</v>
      </c>
      <c r="X93">
        <v>4618000</v>
      </c>
      <c r="Y93">
        <v>0</v>
      </c>
      <c r="Z93">
        <v>0</v>
      </c>
      <c r="AA93">
        <v>0</v>
      </c>
      <c r="AB93">
        <v>5222000</v>
      </c>
      <c r="AC93">
        <v>5184000</v>
      </c>
      <c r="AD93">
        <v>3460000</v>
      </c>
      <c r="AE93">
        <v>700000</v>
      </c>
      <c r="AF93">
        <v>8938000</v>
      </c>
      <c r="AG93">
        <v>8938000</v>
      </c>
      <c r="AH93">
        <v>8938000</v>
      </c>
      <c r="AI93">
        <v>8938000</v>
      </c>
      <c r="AJ93">
        <v>8171000</v>
      </c>
      <c r="AK93">
        <v>8171000</v>
      </c>
      <c r="AL93">
        <v>8171000</v>
      </c>
      <c r="AM93">
        <v>8171000</v>
      </c>
    </row>
    <row r="94" spans="1:39" x14ac:dyDescent="0.25">
      <c r="A94" s="10" t="s">
        <v>212</v>
      </c>
      <c r="B94" s="11"/>
    </row>
    <row r="95" spans="1:39" x14ac:dyDescent="0.25">
      <c r="A95" s="10" t="s">
        <v>213</v>
      </c>
      <c r="B95" s="11"/>
    </row>
    <row r="96" spans="1:39" x14ac:dyDescent="0.25">
      <c r="A96" s="10" t="s">
        <v>215</v>
      </c>
      <c r="B96" s="11"/>
    </row>
    <row r="97" spans="1:39" x14ac:dyDescent="0.25">
      <c r="A97" s="10" t="s">
        <v>216</v>
      </c>
      <c r="B97" s="11"/>
    </row>
    <row r="98" spans="1:39" x14ac:dyDescent="0.25">
      <c r="A98" s="10" t="s">
        <v>214</v>
      </c>
      <c r="B98" s="11"/>
    </row>
    <row r="99" spans="1:39" x14ac:dyDescent="0.25">
      <c r="A99" s="10" t="s">
        <v>224</v>
      </c>
      <c r="B99" s="11">
        <v>-25855000</v>
      </c>
      <c r="C99">
        <v>144617549.69556874</v>
      </c>
      <c r="D99">
        <v>-884435062.41269481</v>
      </c>
      <c r="E99">
        <v>-66630650.326978505</v>
      </c>
      <c r="F99">
        <v>136793000</v>
      </c>
      <c r="G99">
        <v>88268616.805823967</v>
      </c>
      <c r="H99">
        <v>745994443.49332285</v>
      </c>
      <c r="I99">
        <v>-158917182.16581693</v>
      </c>
      <c r="J99">
        <v>-190997965.2954137</v>
      </c>
      <c r="K99">
        <v>-39412166.831037603</v>
      </c>
      <c r="L99">
        <v>311057440.39410985</v>
      </c>
      <c r="M99">
        <v>-185309000</v>
      </c>
      <c r="N99">
        <v>-142948000</v>
      </c>
      <c r="O99">
        <v>-69968000</v>
      </c>
      <c r="P99">
        <v>-80000000</v>
      </c>
      <c r="Q99">
        <v>15343000</v>
      </c>
      <c r="R99">
        <v>70060000</v>
      </c>
      <c r="S99">
        <v>50610000</v>
      </c>
      <c r="T99">
        <v>54788000</v>
      </c>
      <c r="U99">
        <v>10288000</v>
      </c>
      <c r="V99">
        <v>-18685000</v>
      </c>
      <c r="W99">
        <v>11423000</v>
      </c>
      <c r="X99">
        <v>-39729000</v>
      </c>
      <c r="Y99">
        <v>-65197000</v>
      </c>
      <c r="Z99">
        <v>-67492000</v>
      </c>
      <c r="AA99">
        <v>477000</v>
      </c>
      <c r="AB99">
        <v>-13848000</v>
      </c>
      <c r="AC99">
        <v>-29151000</v>
      </c>
      <c r="AD99">
        <v>-12235000</v>
      </c>
      <c r="AE99">
        <v>-4821000</v>
      </c>
      <c r="AF99">
        <v>-16999000</v>
      </c>
      <c r="AG99">
        <v>-12770000</v>
      </c>
      <c r="AH99">
        <v>-11507000</v>
      </c>
      <c r="AI99">
        <v>-13491000</v>
      </c>
      <c r="AJ99">
        <v>-15824000</v>
      </c>
      <c r="AK99">
        <v>-5109000</v>
      </c>
      <c r="AL99">
        <v>-1684000</v>
      </c>
      <c r="AM99">
        <v>-51000</v>
      </c>
    </row>
    <row r="100" spans="1:39" x14ac:dyDescent="0.25">
      <c r="A100" s="10" t="s">
        <v>225</v>
      </c>
      <c r="B100" s="11"/>
    </row>
    <row r="101" spans="1:39" x14ac:dyDescent="0.25">
      <c r="A101" s="10"/>
      <c r="B101" s="11"/>
    </row>
    <row r="102" spans="1:39" ht="18.75" x14ac:dyDescent="0.3">
      <c r="A102" s="30" t="s">
        <v>249</v>
      </c>
      <c r="B102" s="31">
        <v>-1927200000</v>
      </c>
      <c r="C102">
        <v>-2531853936.0474362</v>
      </c>
      <c r="D102">
        <v>11687625471.669369</v>
      </c>
      <c r="E102">
        <v>13474686695.371634</v>
      </c>
      <c r="F102">
        <v>7649578000</v>
      </c>
      <c r="G102">
        <v>2679104692.7054954</v>
      </c>
      <c r="H102">
        <v>6992903358.2835121</v>
      </c>
      <c r="I102">
        <v>3777626449.9398303</v>
      </c>
      <c r="J102">
        <v>2933185257.1217918</v>
      </c>
      <c r="K102">
        <v>-2640471706.3244643</v>
      </c>
      <c r="L102">
        <v>8079176955.8831444</v>
      </c>
      <c r="M102">
        <v>2308820000</v>
      </c>
      <c r="N102">
        <v>1951822000</v>
      </c>
      <c r="O102">
        <v>1808856000</v>
      </c>
      <c r="P102">
        <v>-754301000</v>
      </c>
      <c r="Q102">
        <v>-397297000</v>
      </c>
      <c r="R102">
        <v>55845000</v>
      </c>
      <c r="S102">
        <v>19699000</v>
      </c>
      <c r="T102">
        <v>742088000</v>
      </c>
      <c r="U102">
        <v>174348000</v>
      </c>
      <c r="V102">
        <v>45141000</v>
      </c>
      <c r="W102">
        <v>-669711000</v>
      </c>
      <c r="X102">
        <v>1130660000</v>
      </c>
      <c r="Y102">
        <v>1266518000</v>
      </c>
      <c r="Z102">
        <v>550472000</v>
      </c>
      <c r="AA102">
        <v>220250000</v>
      </c>
      <c r="AB102">
        <v>3268754000</v>
      </c>
      <c r="AC102">
        <v>3111839000</v>
      </c>
      <c r="AD102">
        <v>2938099000</v>
      </c>
      <c r="AE102">
        <v>-44782000</v>
      </c>
      <c r="AF102">
        <v>-21154000</v>
      </c>
      <c r="AG102">
        <v>-88198000</v>
      </c>
      <c r="AH102">
        <v>-81580000</v>
      </c>
      <c r="AI102">
        <v>-72347000</v>
      </c>
      <c r="AJ102">
        <v>-222580000</v>
      </c>
      <c r="AK102">
        <v>-190635000</v>
      </c>
      <c r="AL102">
        <v>-138642000</v>
      </c>
      <c r="AM102">
        <v>-86897000</v>
      </c>
    </row>
    <row r="103" spans="1:39" x14ac:dyDescent="0.25">
      <c r="A103" s="10" t="s">
        <v>250</v>
      </c>
      <c r="B103" s="11"/>
    </row>
    <row r="104" spans="1:39" x14ac:dyDescent="0.25">
      <c r="A104" s="10" t="s">
        <v>251</v>
      </c>
      <c r="B104" s="11"/>
      <c r="C104" s="14"/>
    </row>
    <row r="105" spans="1:39" x14ac:dyDescent="0.25">
      <c r="A105" s="10" t="s">
        <v>252</v>
      </c>
      <c r="B105" s="11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2936723000</v>
      </c>
      <c r="AC105">
        <v>2936723000</v>
      </c>
      <c r="AD105">
        <v>2941742000</v>
      </c>
      <c r="AF105">
        <v>0</v>
      </c>
      <c r="AG105">
        <v>0</v>
      </c>
      <c r="AH105">
        <v>0</v>
      </c>
    </row>
    <row r="106" spans="1:39" x14ac:dyDescent="0.25">
      <c r="A106" s="10" t="s">
        <v>253</v>
      </c>
      <c r="B106" s="11"/>
    </row>
    <row r="107" spans="1:39" x14ac:dyDescent="0.25">
      <c r="A107" s="10" t="s">
        <v>254</v>
      </c>
      <c r="B107" s="11"/>
    </row>
    <row r="108" spans="1:39" x14ac:dyDescent="0.25">
      <c r="A108" s="10" t="s">
        <v>255</v>
      </c>
      <c r="B108" s="11"/>
    </row>
    <row r="109" spans="1:39" x14ac:dyDescent="0.25">
      <c r="A109" s="10" t="s">
        <v>256</v>
      </c>
      <c r="B109" s="11"/>
    </row>
    <row r="110" spans="1:39" x14ac:dyDescent="0.25">
      <c r="A110" s="17" t="s">
        <v>257</v>
      </c>
      <c r="B110" s="18">
        <v>7182771000</v>
      </c>
      <c r="C110">
        <v>7087892438.5942354</v>
      </c>
      <c r="D110">
        <v>40346070331.642174</v>
      </c>
      <c r="E110">
        <v>30009700227.083801</v>
      </c>
      <c r="F110">
        <v>17221223000</v>
      </c>
      <c r="G110">
        <v>10285689079.751175</v>
      </c>
      <c r="H110">
        <v>32875338225.099178</v>
      </c>
      <c r="I110">
        <v>17737494729.427277</v>
      </c>
      <c r="J110">
        <v>16175856703.486843</v>
      </c>
      <c r="K110">
        <v>9410529200.979681</v>
      </c>
      <c r="L110">
        <v>29679617705.444828</v>
      </c>
      <c r="M110">
        <v>7239648000</v>
      </c>
      <c r="N110">
        <v>4255780000</v>
      </c>
      <c r="O110">
        <v>3238675000</v>
      </c>
      <c r="P110">
        <v>6008589000</v>
      </c>
      <c r="Q110">
        <v>5329077000</v>
      </c>
      <c r="R110">
        <v>3152762000</v>
      </c>
      <c r="S110">
        <v>237143000</v>
      </c>
      <c r="T110">
        <v>6854552000</v>
      </c>
      <c r="U110">
        <v>3444920000</v>
      </c>
      <c r="V110">
        <v>1342953000</v>
      </c>
      <c r="W110">
        <v>277701000</v>
      </c>
      <c r="X110">
        <v>3568237000</v>
      </c>
      <c r="Y110">
        <v>2318278000</v>
      </c>
      <c r="Z110">
        <v>1537974000</v>
      </c>
      <c r="AA110">
        <v>790514000</v>
      </c>
      <c r="AB110">
        <v>1128345000</v>
      </c>
      <c r="AC110">
        <v>847599000</v>
      </c>
      <c r="AD110">
        <v>423182000</v>
      </c>
      <c r="AE110">
        <v>96582000</v>
      </c>
      <c r="AF110">
        <v>905412000</v>
      </c>
      <c r="AG110">
        <v>536599000</v>
      </c>
      <c r="AH110">
        <v>376651000</v>
      </c>
      <c r="AI110">
        <v>202748000</v>
      </c>
      <c r="AJ110">
        <v>410750000</v>
      </c>
      <c r="AK110">
        <v>427361000</v>
      </c>
      <c r="AL110">
        <v>196288000</v>
      </c>
      <c r="AM110">
        <v>85022000</v>
      </c>
    </row>
    <row r="111" spans="1:39" x14ac:dyDescent="0.25">
      <c r="A111" s="17" t="s">
        <v>258</v>
      </c>
      <c r="B111" s="18">
        <v>-9109971000</v>
      </c>
      <c r="C111">
        <v>-9619746374.6416721</v>
      </c>
      <c r="D111">
        <v>-28460515704.132908</v>
      </c>
      <c r="E111">
        <v>-16535013531.712166</v>
      </c>
      <c r="F111">
        <v>-9571645000</v>
      </c>
      <c r="G111">
        <v>-7606584387.04568</v>
      </c>
      <c r="H111">
        <v>-25513128041.489262</v>
      </c>
      <c r="I111">
        <v>-13737039533.992306</v>
      </c>
      <c r="J111">
        <v>-13242671446.365053</v>
      </c>
      <c r="K111">
        <v>-12051000907.304148</v>
      </c>
      <c r="L111">
        <v>-20902780026.616398</v>
      </c>
      <c r="M111">
        <v>-4930828000</v>
      </c>
      <c r="N111">
        <v>-2303958000</v>
      </c>
      <c r="O111">
        <v>-1429819000</v>
      </c>
      <c r="P111">
        <v>-6659498000</v>
      </c>
      <c r="Q111">
        <v>-5726374000</v>
      </c>
      <c r="R111">
        <v>-3096917000</v>
      </c>
      <c r="S111">
        <v>-217444000</v>
      </c>
      <c r="T111">
        <v>-5860267000</v>
      </c>
      <c r="U111">
        <v>-3158905000</v>
      </c>
      <c r="V111">
        <v>-1297812000</v>
      </c>
      <c r="W111">
        <v>-947412000</v>
      </c>
      <c r="X111">
        <v>-2263577000</v>
      </c>
      <c r="Y111">
        <v>-935760000</v>
      </c>
      <c r="Z111">
        <v>-929502000</v>
      </c>
      <c r="AA111">
        <v>-570264000</v>
      </c>
      <c r="AB111">
        <v>-991092000</v>
      </c>
      <c r="AC111">
        <v>-735885000</v>
      </c>
      <c r="AD111">
        <v>-425070000</v>
      </c>
      <c r="AE111">
        <v>-146961000</v>
      </c>
      <c r="AF111">
        <v>-863072000</v>
      </c>
      <c r="AG111">
        <v>-578383000</v>
      </c>
      <c r="AH111">
        <v>-442727000</v>
      </c>
      <c r="AI111">
        <v>-281461000</v>
      </c>
      <c r="AJ111">
        <v>-600364000</v>
      </c>
      <c r="AK111">
        <v>-596998000</v>
      </c>
      <c r="AL111">
        <v>-326291000</v>
      </c>
      <c r="AM111">
        <v>-176083000</v>
      </c>
    </row>
    <row r="112" spans="1:39" x14ac:dyDescent="0.25">
      <c r="A112" s="10" t="s">
        <v>259</v>
      </c>
      <c r="B112" s="11"/>
    </row>
    <row r="113" spans="1:39" x14ac:dyDescent="0.25">
      <c r="A113" s="10" t="s">
        <v>260</v>
      </c>
      <c r="B113" s="11"/>
    </row>
    <row r="114" spans="1:39" x14ac:dyDescent="0.25">
      <c r="A114" s="10" t="s">
        <v>261</v>
      </c>
      <c r="B114" s="11"/>
    </row>
    <row r="115" spans="1:39" x14ac:dyDescent="0.25">
      <c r="A115" s="10" t="s">
        <v>246</v>
      </c>
      <c r="B115" s="11"/>
    </row>
    <row r="116" spans="1:39" x14ac:dyDescent="0.25">
      <c r="A116" s="10" t="s">
        <v>247</v>
      </c>
      <c r="B116" s="11"/>
    </row>
    <row r="117" spans="1:39" x14ac:dyDescent="0.25">
      <c r="A117" s="10" t="s">
        <v>248</v>
      </c>
      <c r="B117" s="11"/>
    </row>
    <row r="118" spans="1:39" x14ac:dyDescent="0.25">
      <c r="A118" s="10" t="s">
        <v>210</v>
      </c>
      <c r="B118" s="11">
        <v>0</v>
      </c>
      <c r="C118">
        <v>0</v>
      </c>
      <c r="D118">
        <v>-197929155.83989871</v>
      </c>
      <c r="E118">
        <v>0</v>
      </c>
      <c r="F118">
        <v>0</v>
      </c>
      <c r="G118">
        <v>0</v>
      </c>
      <c r="H118">
        <v>-369306825.32640481</v>
      </c>
      <c r="I118">
        <v>-222828745.49513888</v>
      </c>
      <c r="J118">
        <v>0</v>
      </c>
      <c r="K118">
        <v>0</v>
      </c>
      <c r="L118">
        <v>-697660722.94528294</v>
      </c>
      <c r="M118">
        <v>0</v>
      </c>
      <c r="N118">
        <v>0</v>
      </c>
      <c r="O118">
        <v>0</v>
      </c>
      <c r="P118">
        <v>-103392000</v>
      </c>
      <c r="Q118">
        <v>0</v>
      </c>
      <c r="R118">
        <v>0</v>
      </c>
      <c r="S118">
        <v>0</v>
      </c>
      <c r="T118">
        <v>-252197000</v>
      </c>
      <c r="U118">
        <v>-111667000</v>
      </c>
      <c r="V118">
        <v>0</v>
      </c>
      <c r="W118">
        <v>0</v>
      </c>
      <c r="X118">
        <v>-174000000</v>
      </c>
      <c r="Y118">
        <v>-116000000</v>
      </c>
      <c r="Z118">
        <v>-58000000</v>
      </c>
      <c r="AA118">
        <v>0</v>
      </c>
      <c r="AB118">
        <v>-84600000</v>
      </c>
      <c r="AC118">
        <v>-56400000</v>
      </c>
      <c r="AD118">
        <v>-28200000</v>
      </c>
      <c r="AF118">
        <v>-75500000</v>
      </c>
      <c r="AG118">
        <v>-54167000</v>
      </c>
      <c r="AH118">
        <v>-25167000</v>
      </c>
      <c r="AI118">
        <v>0</v>
      </c>
      <c r="AJ118">
        <v>-42000000</v>
      </c>
      <c r="AK118">
        <v>-28000000</v>
      </c>
      <c r="AL118">
        <v>-14000000</v>
      </c>
      <c r="AM118">
        <v>0</v>
      </c>
    </row>
    <row r="119" spans="1:39" x14ac:dyDescent="0.25">
      <c r="A119" s="10" t="s">
        <v>212</v>
      </c>
      <c r="B119" s="11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-25142000</v>
      </c>
      <c r="AC119">
        <v>-12501000</v>
      </c>
      <c r="AD119">
        <v>-8334000</v>
      </c>
      <c r="AE119">
        <v>-954000</v>
      </c>
      <c r="AF119">
        <v>-15508000</v>
      </c>
      <c r="AG119">
        <v>-13263000</v>
      </c>
      <c r="AH119">
        <v>-7199000</v>
      </c>
      <c r="AI119">
        <v>-3453000</v>
      </c>
      <c r="AJ119">
        <v>-7510000</v>
      </c>
      <c r="AK119">
        <v>-4642000</v>
      </c>
      <c r="AL119">
        <v>-2687000</v>
      </c>
      <c r="AM119">
        <v>-1339000</v>
      </c>
    </row>
    <row r="120" spans="1:39" x14ac:dyDescent="0.25">
      <c r="A120" s="10" t="s">
        <v>213</v>
      </c>
      <c r="B120" s="11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304520000</v>
      </c>
      <c r="AC120">
        <v>132303000</v>
      </c>
      <c r="AD120">
        <v>34779000</v>
      </c>
      <c r="AE120">
        <v>6551000</v>
      </c>
      <c r="AF120">
        <v>27514000</v>
      </c>
      <c r="AG120">
        <v>21016000</v>
      </c>
      <c r="AH120">
        <v>16862000</v>
      </c>
      <c r="AI120">
        <v>9819000</v>
      </c>
      <c r="AJ120">
        <v>16611000</v>
      </c>
      <c r="AK120">
        <v>11711000</v>
      </c>
      <c r="AL120">
        <v>8103000</v>
      </c>
      <c r="AM120">
        <v>5547000</v>
      </c>
    </row>
    <row r="121" spans="1:39" x14ac:dyDescent="0.25">
      <c r="A121" s="10" t="s">
        <v>215</v>
      </c>
      <c r="B121" s="11"/>
    </row>
    <row r="122" spans="1:39" x14ac:dyDescent="0.25">
      <c r="A122" s="10" t="s">
        <v>216</v>
      </c>
      <c r="B122" s="11"/>
    </row>
    <row r="123" spans="1:39" x14ac:dyDescent="0.25">
      <c r="A123" s="10" t="s">
        <v>214</v>
      </c>
      <c r="B123" s="11"/>
    </row>
    <row r="124" spans="1:39" x14ac:dyDescent="0.25">
      <c r="A124" s="10" t="s">
        <v>224</v>
      </c>
      <c r="B124" s="11"/>
    </row>
    <row r="125" spans="1:39" x14ac:dyDescent="0.25">
      <c r="A125" s="10" t="s">
        <v>225</v>
      </c>
      <c r="B125" s="11"/>
    </row>
    <row r="126" spans="1:39" x14ac:dyDescent="0.25">
      <c r="A126" s="19" t="s">
        <v>262</v>
      </c>
      <c r="B126" s="20">
        <v>-1110750000</v>
      </c>
      <c r="C126" s="1">
        <v>-4172069436.4044957</v>
      </c>
      <c r="D126">
        <v>11768823526.829451</v>
      </c>
      <c r="E126">
        <v>-3725772853.3465819</v>
      </c>
      <c r="F126">
        <v>-6268327000</v>
      </c>
      <c r="G126">
        <v>-5209446972.9040947</v>
      </c>
      <c r="H126">
        <v>1422620401.6352835</v>
      </c>
      <c r="I126">
        <v>-8194964922.0674868</v>
      </c>
      <c r="J126">
        <v>-11264492221.559185</v>
      </c>
      <c r="K126">
        <v>-5355224974.7320604</v>
      </c>
      <c r="L126">
        <v>8398662069.2166214</v>
      </c>
      <c r="M126">
        <v>-1362372000</v>
      </c>
      <c r="N126">
        <v>-415224000</v>
      </c>
      <c r="O126">
        <v>-391564000</v>
      </c>
      <c r="P126">
        <v>-1827694000</v>
      </c>
      <c r="Q126">
        <v>-2949978000</v>
      </c>
      <c r="R126">
        <v>-1788345000</v>
      </c>
      <c r="S126">
        <v>-1100040000</v>
      </c>
      <c r="T126">
        <v>459411000</v>
      </c>
      <c r="U126">
        <v>-1678707000</v>
      </c>
      <c r="V126">
        <v>-1954520000</v>
      </c>
      <c r="W126">
        <v>-1775249000</v>
      </c>
      <c r="X126">
        <v>412443000</v>
      </c>
      <c r="Y126">
        <v>-1337774000</v>
      </c>
      <c r="Z126">
        <v>-1484912000</v>
      </c>
      <c r="AA126">
        <v>-549112000</v>
      </c>
      <c r="AB126">
        <v>1794951000</v>
      </c>
      <c r="AC126">
        <v>1740437000</v>
      </c>
      <c r="AD126">
        <v>2158158000</v>
      </c>
      <c r="AE126">
        <v>-789094000</v>
      </c>
      <c r="AF126">
        <v>73132000</v>
      </c>
      <c r="AG126">
        <v>-852512000</v>
      </c>
      <c r="AH126">
        <v>-500019000</v>
      </c>
      <c r="AI126">
        <v>-326242000</v>
      </c>
      <c r="AJ126">
        <v>398504000</v>
      </c>
      <c r="AK126">
        <v>129502000</v>
      </c>
      <c r="AL126">
        <v>-124770000</v>
      </c>
      <c r="AM126">
        <v>-333210000</v>
      </c>
    </row>
    <row r="127" spans="1:39" x14ac:dyDescent="0.25">
      <c r="A127" s="19" t="s">
        <v>263</v>
      </c>
      <c r="B127" s="20">
        <v>-2508838000</v>
      </c>
      <c r="C127" s="1">
        <v>-1685413586.2103977</v>
      </c>
      <c r="D127">
        <v>-3477146810.6088543</v>
      </c>
      <c r="E127">
        <v>-2934217242.8468509</v>
      </c>
      <c r="F127">
        <v>-2263503000</v>
      </c>
      <c r="G127">
        <v>-1413815885.1453114</v>
      </c>
      <c r="H127">
        <v>-6082773196.166955</v>
      </c>
      <c r="I127">
        <v>-4386089429.9015112</v>
      </c>
      <c r="J127">
        <v>-1551790099.6425631</v>
      </c>
      <c r="K127">
        <v>-1422410149.859545</v>
      </c>
      <c r="L127">
        <v>-3979389490.5344796</v>
      </c>
      <c r="M127">
        <v>222521000</v>
      </c>
      <c r="N127">
        <v>144414000</v>
      </c>
      <c r="O127">
        <v>54285000</v>
      </c>
      <c r="P127">
        <v>240544000</v>
      </c>
      <c r="Q127">
        <v>181513000</v>
      </c>
      <c r="R127">
        <v>219593000</v>
      </c>
      <c r="S127">
        <v>168451000</v>
      </c>
      <c r="T127">
        <v>105942000</v>
      </c>
      <c r="U127">
        <v>106375000</v>
      </c>
      <c r="V127">
        <v>89586000</v>
      </c>
      <c r="W127">
        <v>85742000</v>
      </c>
      <c r="X127">
        <v>13573000</v>
      </c>
      <c r="Y127">
        <v>8983000</v>
      </c>
      <c r="Z127">
        <v>7160000</v>
      </c>
      <c r="AA127">
        <v>6151000</v>
      </c>
      <c r="AB127">
        <v>30685000</v>
      </c>
      <c r="AC127">
        <v>41813000</v>
      </c>
      <c r="AD127">
        <v>18743000</v>
      </c>
      <c r="AE127">
        <v>7230000</v>
      </c>
      <c r="AF127">
        <v>20727000</v>
      </c>
      <c r="AG127">
        <v>16467000</v>
      </c>
      <c r="AH127">
        <v>12221000</v>
      </c>
      <c r="AI127">
        <v>32432000</v>
      </c>
      <c r="AJ127">
        <v>89237000</v>
      </c>
      <c r="AK127">
        <v>10412000</v>
      </c>
      <c r="AL127">
        <v>-3362000</v>
      </c>
      <c r="AM127">
        <v>-6626000</v>
      </c>
    </row>
    <row r="128" spans="1:39" x14ac:dyDescent="0.25">
      <c r="A128" s="21" t="s">
        <v>264</v>
      </c>
      <c r="B128" s="22">
        <v>-3619588000</v>
      </c>
      <c r="C128" s="1">
        <v>-5857483022.6148939</v>
      </c>
      <c r="D128">
        <v>8291676716.2205954</v>
      </c>
      <c r="E128">
        <v>-6659990096.1934319</v>
      </c>
      <c r="F128">
        <v>-8531830000</v>
      </c>
      <c r="G128">
        <v>-6623262858.0494061</v>
      </c>
      <c r="H128">
        <v>-4660152794.5316725</v>
      </c>
      <c r="I128">
        <v>-12581054351.968996</v>
      </c>
      <c r="J128">
        <v>-12816282321.201748</v>
      </c>
      <c r="K128">
        <v>-6777635124.5916061</v>
      </c>
      <c r="L128">
        <v>4419272578.6821404</v>
      </c>
      <c r="M128">
        <v>-1139851000</v>
      </c>
      <c r="N128">
        <v>-270810000</v>
      </c>
      <c r="O128">
        <v>-337279000</v>
      </c>
      <c r="P128">
        <v>-1587150000</v>
      </c>
      <c r="Q128">
        <v>-2768465000</v>
      </c>
      <c r="R128">
        <v>-1568752000</v>
      </c>
      <c r="S128">
        <v>-931589000</v>
      </c>
      <c r="T128">
        <v>565353000</v>
      </c>
      <c r="U128">
        <v>-1572332000</v>
      </c>
      <c r="V128">
        <v>-1864934000</v>
      </c>
      <c r="W128">
        <v>-1689507000</v>
      </c>
      <c r="X128">
        <v>426016000</v>
      </c>
      <c r="Y128">
        <v>-1328791000</v>
      </c>
      <c r="Z128">
        <v>-1477752000</v>
      </c>
      <c r="AA128">
        <v>-542961000</v>
      </c>
      <c r="AB128">
        <v>1825636000</v>
      </c>
      <c r="AC128">
        <v>1782250000</v>
      </c>
      <c r="AD128">
        <v>2176901000</v>
      </c>
      <c r="AE128">
        <v>-781864000</v>
      </c>
      <c r="AF128">
        <v>93859000</v>
      </c>
      <c r="AG128">
        <v>-836045000</v>
      </c>
      <c r="AH128">
        <v>-487798000</v>
      </c>
      <c r="AI128">
        <v>-293810000</v>
      </c>
      <c r="AJ128">
        <v>487741000</v>
      </c>
      <c r="AK128">
        <v>139914000</v>
      </c>
      <c r="AL128">
        <v>-128132000</v>
      </c>
      <c r="AM128">
        <v>-339836000</v>
      </c>
    </row>
    <row r="129" spans="1:39" x14ac:dyDescent="0.25">
      <c r="A129" s="23" t="s">
        <v>265</v>
      </c>
      <c r="B129" s="24">
        <v>19411361000</v>
      </c>
      <c r="C129" s="1">
        <v>19411391128.761395</v>
      </c>
      <c r="D129">
        <v>11119673112.570076</v>
      </c>
      <c r="E129">
        <v>11119670939.944424</v>
      </c>
      <c r="F129">
        <v>11119700000</v>
      </c>
      <c r="G129">
        <v>11119685300.549295</v>
      </c>
      <c r="H129">
        <v>15779825907.101749</v>
      </c>
      <c r="I129">
        <v>15779826484.739687</v>
      </c>
      <c r="J129">
        <v>15779811661.094559</v>
      </c>
      <c r="K129">
        <v>15779825817.169672</v>
      </c>
      <c r="L129">
        <v>11360553657.982769</v>
      </c>
      <c r="M129">
        <v>2491606000</v>
      </c>
      <c r="N129">
        <v>2491605000</v>
      </c>
      <c r="O129">
        <v>2491606000</v>
      </c>
      <c r="P129">
        <v>4078756000</v>
      </c>
      <c r="Q129">
        <v>4078756000</v>
      </c>
      <c r="R129">
        <v>4078756000</v>
      </c>
      <c r="S129">
        <v>4078756000</v>
      </c>
      <c r="T129">
        <v>3513403000</v>
      </c>
      <c r="U129">
        <v>3513403000</v>
      </c>
      <c r="V129">
        <v>3513403000</v>
      </c>
      <c r="W129">
        <v>3513403000</v>
      </c>
      <c r="X129">
        <v>3087387000</v>
      </c>
      <c r="Y129">
        <v>3087387000</v>
      </c>
      <c r="Z129">
        <v>3087387000</v>
      </c>
      <c r="AA129">
        <v>3087388000</v>
      </c>
      <c r="AB129">
        <v>1261752000</v>
      </c>
      <c r="AC129">
        <v>1261753000</v>
      </c>
      <c r="AD129">
        <v>1261753000</v>
      </c>
      <c r="AE129">
        <v>1261753000</v>
      </c>
      <c r="AF129">
        <v>1167894000</v>
      </c>
      <c r="AG129">
        <v>1167894000</v>
      </c>
      <c r="AH129">
        <v>1167894000</v>
      </c>
      <c r="AI129">
        <v>1167894000</v>
      </c>
      <c r="AJ129">
        <v>680153000</v>
      </c>
      <c r="AK129">
        <v>680153000</v>
      </c>
      <c r="AL129">
        <v>680153000</v>
      </c>
      <c r="AM129">
        <v>680153000</v>
      </c>
    </row>
    <row r="130" spans="1:39" x14ac:dyDescent="0.25">
      <c r="A130" s="25" t="s">
        <v>266</v>
      </c>
      <c r="B130" s="26">
        <v>15791773000</v>
      </c>
      <c r="C130" s="1">
        <v>13553908106.1465</v>
      </c>
      <c r="D130">
        <v>19411349828.790672</v>
      </c>
      <c r="E130">
        <v>4459680843.7509899</v>
      </c>
      <c r="F130">
        <v>2587870000</v>
      </c>
      <c r="G130">
        <v>4496422442.4998903</v>
      </c>
      <c r="H130">
        <v>11119673112.570076</v>
      </c>
      <c r="I130">
        <v>3198772132.7706881</v>
      </c>
      <c r="J130">
        <v>2963529339.8928123</v>
      </c>
      <c r="K130">
        <v>9002190692.5780697</v>
      </c>
      <c r="L130">
        <v>15779826236.664907</v>
      </c>
      <c r="M130">
        <v>1351755000</v>
      </c>
      <c r="N130">
        <v>2220795000</v>
      </c>
      <c r="O130">
        <v>2154327000</v>
      </c>
      <c r="P130">
        <v>2491606000</v>
      </c>
      <c r="Q130">
        <v>1310291000</v>
      </c>
      <c r="R130">
        <v>2510004000</v>
      </c>
      <c r="S130">
        <v>3147167000</v>
      </c>
      <c r="T130">
        <v>4078756000</v>
      </c>
      <c r="U130">
        <v>1941071000</v>
      </c>
      <c r="V130">
        <v>1648469000</v>
      </c>
      <c r="W130">
        <v>1823896000</v>
      </c>
      <c r="X130">
        <v>3513403000</v>
      </c>
      <c r="Y130">
        <v>1758596000</v>
      </c>
      <c r="Z130">
        <v>1609635000</v>
      </c>
      <c r="AA130">
        <v>2544427000</v>
      </c>
      <c r="AB130">
        <v>3087388000</v>
      </c>
      <c r="AC130">
        <v>3044003000</v>
      </c>
      <c r="AD130">
        <v>3438654000</v>
      </c>
      <c r="AE130">
        <v>479889000</v>
      </c>
      <c r="AF130">
        <v>1261753000</v>
      </c>
      <c r="AG130">
        <v>331849000</v>
      </c>
      <c r="AH130">
        <v>680096000</v>
      </c>
      <c r="AI130">
        <v>874084000</v>
      </c>
      <c r="AJ130">
        <v>1167894000</v>
      </c>
      <c r="AK130">
        <v>820067000</v>
      </c>
      <c r="AL130">
        <v>552021000</v>
      </c>
      <c r="AM130">
        <v>340317000</v>
      </c>
    </row>
    <row r="132" spans="1:39" x14ac:dyDescent="0.25">
      <c r="B132" s="14">
        <f>B129-B130</f>
        <v>3619588000</v>
      </c>
    </row>
    <row r="133" spans="1:39" x14ac:dyDescent="0.25">
      <c r="B133" s="14">
        <f>B127+B126</f>
        <v>-3619588000</v>
      </c>
    </row>
    <row r="139" spans="1:39" x14ac:dyDescent="0.25">
      <c r="B139" s="14">
        <f>B3+B49+B68</f>
        <v>16758911000</v>
      </c>
    </row>
    <row r="141" spans="1:39" x14ac:dyDescent="0.25">
      <c r="A141" s="12" t="s">
        <v>209</v>
      </c>
      <c r="B141" s="13">
        <v>15942461000</v>
      </c>
    </row>
    <row r="142" spans="1:39" x14ac:dyDescent="0.25">
      <c r="A142" s="27" t="s">
        <v>161</v>
      </c>
      <c r="B142" s="16">
        <v>6410609000</v>
      </c>
    </row>
    <row r="145" spans="1:3" x14ac:dyDescent="0.25">
      <c r="A145" s="12" t="s">
        <v>164</v>
      </c>
      <c r="B145" s="13">
        <v>13635205000</v>
      </c>
    </row>
    <row r="146" spans="1:3" x14ac:dyDescent="0.25">
      <c r="A146" s="12" t="s">
        <v>226</v>
      </c>
      <c r="B146" s="13">
        <v>-12818755000</v>
      </c>
    </row>
    <row r="147" spans="1:3" x14ac:dyDescent="0.25">
      <c r="A147" s="12" t="s">
        <v>249</v>
      </c>
      <c r="B147" s="13">
        <v>-1927200000</v>
      </c>
      <c r="C147" s="14">
        <f>SUM(B145:B147)</f>
        <v>-1110750000</v>
      </c>
    </row>
    <row r="148" spans="1:3" x14ac:dyDescent="0.25">
      <c r="A148" s="19" t="s">
        <v>262</v>
      </c>
      <c r="B148" s="28">
        <f>B145+B146+B147</f>
        <v>-1110750000</v>
      </c>
    </row>
  </sheetData>
  <pageMargins left="0.7" right="0.7" top="0.75" bottom="0.75" header="0.3" footer="0.3"/>
  <pageSetup paperSize="9" orientation="portrait" r:id="rId1"/>
  <ignoredErrors>
    <ignoredError sqref="A1:AM1 A10:AM28 A9 C9:AM9 A67:AM69 A66 C66:AM66 A4:AM8 C2:AM2 A30:AM49 A29:B29 D29:AM29 A52:AM65 A50:B50 D50:AM50 A51:B51 D51:AM51 A71:AM103 A70:B70 D70:AM70 A105:AM130 A104:B104 D104:AM104 A3 C3:AM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28DD-5E0E-4FB9-91AE-C5DC77F55ACD}">
  <dimension ref="A1:C66"/>
  <sheetViews>
    <sheetView tabSelected="1" topLeftCell="A22" workbookViewId="0">
      <selection activeCell="C42" sqref="C42"/>
    </sheetView>
  </sheetViews>
  <sheetFormatPr defaultRowHeight="15.75" x14ac:dyDescent="0.25"/>
  <cols>
    <col min="1" max="1" width="130.25" bestFit="1" customWidth="1"/>
    <col min="2" max="2" width="14.75" bestFit="1" customWidth="1"/>
    <col min="3" max="3" width="13.375" bestFit="1" customWidth="1"/>
  </cols>
  <sheetData>
    <row r="1" spans="1:3" s="3" customFormat="1" ht="15" x14ac:dyDescent="0.25">
      <c r="A1" s="3" t="s">
        <v>0</v>
      </c>
      <c r="B1" s="3" t="s">
        <v>1</v>
      </c>
    </row>
    <row r="2" spans="1:3" s="3" customFormat="1" ht="15" x14ac:dyDescent="0.25">
      <c r="A2" s="3" t="s">
        <v>122</v>
      </c>
      <c r="B2" s="4"/>
    </row>
    <row r="3" spans="1:3" s="3" customFormat="1" ht="15" x14ac:dyDescent="0.25">
      <c r="A3" s="5" t="s">
        <v>164</v>
      </c>
      <c r="B3" s="4">
        <v>13635205000</v>
      </c>
      <c r="C3" s="4">
        <v>13635205000</v>
      </c>
    </row>
    <row r="4" spans="1:3" s="3" customFormat="1" ht="15" x14ac:dyDescent="0.25">
      <c r="A4" s="6" t="s">
        <v>161</v>
      </c>
      <c r="B4" s="9">
        <v>6410609000</v>
      </c>
      <c r="C4" s="4">
        <v>6410609000</v>
      </c>
    </row>
    <row r="5" spans="1:3" s="3" customFormat="1" ht="15" x14ac:dyDescent="0.25">
      <c r="A5" s="6" t="s">
        <v>165</v>
      </c>
      <c r="B5" s="9">
        <v>2321452000</v>
      </c>
      <c r="C5" s="4">
        <v>2321452000</v>
      </c>
    </row>
    <row r="6" spans="1:3" s="3" customFormat="1" ht="15" x14ac:dyDescent="0.25">
      <c r="A6" s="3" t="s">
        <v>166</v>
      </c>
      <c r="B6" s="4">
        <v>2245875000</v>
      </c>
      <c r="C6" s="7"/>
    </row>
    <row r="7" spans="1:3" s="3" customFormat="1" ht="15" x14ac:dyDescent="0.25">
      <c r="A7" s="3" t="s">
        <v>167</v>
      </c>
      <c r="B7" s="4">
        <v>132964000</v>
      </c>
      <c r="C7" s="7"/>
    </row>
    <row r="8" spans="1:3" s="3" customFormat="1" ht="15" x14ac:dyDescent="0.25">
      <c r="A8" s="6" t="s">
        <v>168</v>
      </c>
      <c r="B8" s="9">
        <v>-993869000</v>
      </c>
    </row>
    <row r="9" spans="1:3" s="3" customFormat="1" ht="15" x14ac:dyDescent="0.25">
      <c r="A9" s="8" t="s">
        <v>169</v>
      </c>
      <c r="B9" s="4"/>
    </row>
    <row r="10" spans="1:3" s="3" customFormat="1" ht="15" x14ac:dyDescent="0.25">
      <c r="A10" s="3" t="s">
        <v>170</v>
      </c>
      <c r="B10" s="4"/>
    </row>
    <row r="11" spans="1:3" s="3" customFormat="1" ht="15" x14ac:dyDescent="0.25">
      <c r="A11" s="3" t="s">
        <v>171</v>
      </c>
      <c r="B11" s="4"/>
    </row>
    <row r="12" spans="1:3" s="3" customFormat="1" ht="15" x14ac:dyDescent="0.25">
      <c r="A12" s="3" t="s">
        <v>172</v>
      </c>
      <c r="B12" s="4">
        <v>-631837000</v>
      </c>
    </row>
    <row r="13" spans="1:3" s="3" customFormat="1" ht="15" x14ac:dyDescent="0.25">
      <c r="A13" s="3" t="s">
        <v>173</v>
      </c>
      <c r="B13" s="4"/>
    </row>
    <row r="14" spans="1:3" s="3" customFormat="1" ht="15" x14ac:dyDescent="0.25">
      <c r="A14" s="3" t="s">
        <v>174</v>
      </c>
      <c r="B14" s="4"/>
    </row>
    <row r="15" spans="1:3" s="3" customFormat="1" ht="15" x14ac:dyDescent="0.25">
      <c r="A15" s="3" t="s">
        <v>175</v>
      </c>
      <c r="B15" s="4"/>
    </row>
    <row r="16" spans="1:3" s="3" customFormat="1" ht="15" x14ac:dyDescent="0.25">
      <c r="A16" s="3" t="s">
        <v>176</v>
      </c>
      <c r="B16" s="4"/>
    </row>
    <row r="17" spans="1:2" s="3" customFormat="1" ht="15" x14ac:dyDescent="0.25">
      <c r="A17" s="3" t="s">
        <v>177</v>
      </c>
      <c r="B17" s="4"/>
    </row>
    <row r="18" spans="1:2" s="3" customFormat="1" ht="15" x14ac:dyDescent="0.25">
      <c r="A18" s="3" t="s">
        <v>178</v>
      </c>
      <c r="B18" s="4"/>
    </row>
    <row r="19" spans="1:2" s="3" customFormat="1" ht="15" x14ac:dyDescent="0.25">
      <c r="A19" s="3" t="s">
        <v>179</v>
      </c>
      <c r="B19" s="4">
        <v>207584000</v>
      </c>
    </row>
    <row r="20" spans="1:2" s="3" customFormat="1" ht="15" x14ac:dyDescent="0.25">
      <c r="A20" s="3" t="s">
        <v>180</v>
      </c>
      <c r="B20" s="4">
        <v>-8795939000</v>
      </c>
    </row>
    <row r="21" spans="1:2" s="3" customFormat="1" ht="15" x14ac:dyDescent="0.25">
      <c r="A21" s="3" t="s">
        <v>181</v>
      </c>
      <c r="B21" s="4"/>
    </row>
    <row r="22" spans="1:2" s="3" customFormat="1" ht="15" x14ac:dyDescent="0.25">
      <c r="A22" s="3" t="s">
        <v>182</v>
      </c>
      <c r="B22" s="4">
        <v>0</v>
      </c>
    </row>
    <row r="23" spans="1:2" s="3" customFormat="1" ht="15" x14ac:dyDescent="0.25">
      <c r="A23" s="3" t="s">
        <v>183</v>
      </c>
      <c r="B23" s="4"/>
    </row>
    <row r="24" spans="1:2" s="3" customFormat="1" ht="15" x14ac:dyDescent="0.25">
      <c r="A24" s="3" t="s">
        <v>184</v>
      </c>
      <c r="B24" s="4"/>
    </row>
    <row r="25" spans="1:2" s="3" customFormat="1" ht="15" x14ac:dyDescent="0.25">
      <c r="A25" s="3" t="s">
        <v>185</v>
      </c>
      <c r="B25" s="4"/>
    </row>
    <row r="26" spans="1:2" s="3" customFormat="1" ht="15" x14ac:dyDescent="0.25">
      <c r="A26" s="3" t="s">
        <v>186</v>
      </c>
      <c r="B26" s="4">
        <v>6131389000</v>
      </c>
    </row>
    <row r="27" spans="1:2" s="3" customFormat="1" ht="15" x14ac:dyDescent="0.25">
      <c r="A27" s="3" t="s">
        <v>187</v>
      </c>
      <c r="B27" s="4">
        <v>4025285000</v>
      </c>
    </row>
    <row r="28" spans="1:2" s="3" customFormat="1" ht="15" x14ac:dyDescent="0.25">
      <c r="A28" s="3" t="s">
        <v>188</v>
      </c>
      <c r="B28" s="4">
        <v>7210400000</v>
      </c>
    </row>
    <row r="29" spans="1:2" s="3" customFormat="1" ht="15" x14ac:dyDescent="0.25">
      <c r="A29" s="3" t="s">
        <v>189</v>
      </c>
      <c r="B29" s="4"/>
    </row>
    <row r="30" spans="1:2" s="3" customFormat="1" ht="15" x14ac:dyDescent="0.25">
      <c r="A30" s="3" t="s">
        <v>190</v>
      </c>
      <c r="B30" s="4"/>
    </row>
    <row r="31" spans="1:2" s="3" customFormat="1" ht="15" x14ac:dyDescent="0.25">
      <c r="A31" s="3" t="s">
        <v>191</v>
      </c>
      <c r="B31" s="4">
        <v>13269741000</v>
      </c>
    </row>
    <row r="32" spans="1:2" s="3" customFormat="1" ht="15" x14ac:dyDescent="0.25">
      <c r="A32" s="3" t="s">
        <v>192</v>
      </c>
      <c r="B32" s="4"/>
    </row>
    <row r="33" spans="1:3" s="3" customFormat="1" ht="15" x14ac:dyDescent="0.25">
      <c r="A33" s="3" t="s">
        <v>193</v>
      </c>
      <c r="B33" s="4">
        <v>35669000</v>
      </c>
    </row>
    <row r="34" spans="1:3" s="3" customFormat="1" ht="15" x14ac:dyDescent="0.25">
      <c r="A34" s="3" t="s">
        <v>194</v>
      </c>
      <c r="B34" s="4"/>
    </row>
    <row r="35" spans="1:3" s="3" customFormat="1" ht="15" x14ac:dyDescent="0.25">
      <c r="A35" s="3" t="s">
        <v>195</v>
      </c>
      <c r="B35" s="4"/>
    </row>
    <row r="36" spans="1:3" s="3" customFormat="1" ht="15" x14ac:dyDescent="0.25">
      <c r="A36" s="3" t="s">
        <v>196</v>
      </c>
      <c r="B36" s="4"/>
    </row>
    <row r="37" spans="1:3" s="3" customFormat="1" ht="15" x14ac:dyDescent="0.25">
      <c r="A37" s="3" t="s">
        <v>197</v>
      </c>
      <c r="B37" s="4">
        <v>-2098393000</v>
      </c>
    </row>
    <row r="38" spans="1:3" s="3" customFormat="1" ht="15" x14ac:dyDescent="0.25">
      <c r="A38" s="3" t="s">
        <v>198</v>
      </c>
      <c r="B38" s="4"/>
    </row>
    <row r="39" spans="1:3" s="3" customFormat="1" ht="15" x14ac:dyDescent="0.25">
      <c r="A39" s="3" t="s">
        <v>199</v>
      </c>
      <c r="B39" s="4">
        <v>-4598502000</v>
      </c>
    </row>
    <row r="40" spans="1:3" s="3" customFormat="1" ht="15" x14ac:dyDescent="0.25">
      <c r="A40" s="3" t="s">
        <v>200</v>
      </c>
      <c r="B40" s="4">
        <v>-3896843000</v>
      </c>
    </row>
    <row r="41" spans="1:3" s="3" customFormat="1" ht="15" x14ac:dyDescent="0.25">
      <c r="A41" s="3" t="s">
        <v>201</v>
      </c>
      <c r="B41" s="4"/>
    </row>
    <row r="42" spans="1:3" s="3" customFormat="1" ht="15" x14ac:dyDescent="0.25">
      <c r="A42" s="3" t="s">
        <v>202</v>
      </c>
      <c r="B42" s="4">
        <v>261504000</v>
      </c>
      <c r="C42" s="7" t="e" cm="1">
        <f t="array" ref="C42">B49-B</f>
        <v>#NAME?</v>
      </c>
    </row>
    <row r="43" spans="1:3" s="3" customFormat="1" ht="15" x14ac:dyDescent="0.25">
      <c r="A43" s="3" t="s">
        <v>203</v>
      </c>
      <c r="B43" s="4">
        <v>890195000</v>
      </c>
    </row>
    <row r="44" spans="1:3" s="3" customFormat="1" ht="15" x14ac:dyDescent="0.25">
      <c r="A44" s="3" t="s">
        <v>204</v>
      </c>
      <c r="B44" s="4">
        <v>-415023000</v>
      </c>
    </row>
    <row r="45" spans="1:3" s="3" customFormat="1" ht="15" x14ac:dyDescent="0.25">
      <c r="A45" s="3" t="s">
        <v>205</v>
      </c>
      <c r="B45" s="4"/>
    </row>
    <row r="46" spans="1:3" s="3" customFormat="1" ht="15" x14ac:dyDescent="0.25">
      <c r="A46" s="3" t="s">
        <v>206</v>
      </c>
      <c r="B46" s="4">
        <v>-11011000</v>
      </c>
    </row>
    <row r="47" spans="1:3" s="3" customFormat="1" ht="15" x14ac:dyDescent="0.25">
      <c r="A47" s="3" t="s">
        <v>207</v>
      </c>
      <c r="B47" s="4">
        <v>9130225000</v>
      </c>
    </row>
    <row r="48" spans="1:3" s="3" customFormat="1" ht="15" x14ac:dyDescent="0.25">
      <c r="A48" s="3" t="s">
        <v>208</v>
      </c>
      <c r="B48" s="4">
        <v>-5357162000</v>
      </c>
    </row>
    <row r="49" spans="1:3" s="3" customFormat="1" ht="15" x14ac:dyDescent="0.25">
      <c r="A49" s="33" t="s">
        <v>209</v>
      </c>
      <c r="B49" s="4">
        <v>15942461000</v>
      </c>
      <c r="C49" s="7">
        <f>SUM(B31:B49)-B31</f>
        <v>9883120000</v>
      </c>
    </row>
    <row r="50" spans="1:3" s="3" customFormat="1" ht="15" x14ac:dyDescent="0.25">
      <c r="A50" s="3" t="s">
        <v>210</v>
      </c>
      <c r="B50" s="4"/>
    </row>
    <row r="51" spans="1:3" s="3" customFormat="1" ht="15" x14ac:dyDescent="0.25">
      <c r="A51" s="3" t="s">
        <v>211</v>
      </c>
      <c r="B51" s="4"/>
    </row>
    <row r="52" spans="1:3" s="3" customFormat="1" ht="15" x14ac:dyDescent="0.25">
      <c r="A52" s="3" t="s">
        <v>212</v>
      </c>
      <c r="B52" s="4"/>
    </row>
    <row r="53" spans="1:3" s="3" customFormat="1" ht="15" x14ac:dyDescent="0.25">
      <c r="A53" s="3" t="s">
        <v>213</v>
      </c>
      <c r="B53" s="4"/>
    </row>
    <row r="54" spans="1:3" s="3" customFormat="1" ht="15" x14ac:dyDescent="0.25">
      <c r="A54" s="3" t="s">
        <v>214</v>
      </c>
      <c r="B54" s="4">
        <v>-112242000</v>
      </c>
    </row>
    <row r="55" spans="1:3" s="3" customFormat="1" ht="15" x14ac:dyDescent="0.25">
      <c r="A55" s="3" t="s">
        <v>215</v>
      </c>
      <c r="B55" s="4"/>
    </row>
    <row r="56" spans="1:3" s="3" customFormat="1" ht="15" x14ac:dyDescent="0.25">
      <c r="A56" s="3" t="s">
        <v>216</v>
      </c>
      <c r="B56" s="4"/>
    </row>
    <row r="57" spans="1:3" s="3" customFormat="1" ht="15" x14ac:dyDescent="0.25">
      <c r="A57" s="3" t="s">
        <v>217</v>
      </c>
      <c r="B57" s="4"/>
    </row>
    <row r="58" spans="1:3" s="3" customFormat="1" ht="15" x14ac:dyDescent="0.25">
      <c r="A58" s="3" t="s">
        <v>218</v>
      </c>
      <c r="B58" s="4"/>
    </row>
    <row r="59" spans="1:3" s="3" customFormat="1" ht="15" x14ac:dyDescent="0.25">
      <c r="A59" s="3" t="s">
        <v>219</v>
      </c>
      <c r="B59" s="4"/>
    </row>
    <row r="60" spans="1:3" s="3" customFormat="1" ht="15" x14ac:dyDescent="0.25">
      <c r="A60" s="3" t="s">
        <v>220</v>
      </c>
      <c r="B60" s="4"/>
    </row>
    <row r="61" spans="1:3" s="3" customFormat="1" ht="15" x14ac:dyDescent="0.25">
      <c r="A61" s="3" t="s">
        <v>221</v>
      </c>
      <c r="B61" s="4"/>
    </row>
    <row r="62" spans="1:3" s="3" customFormat="1" ht="15" x14ac:dyDescent="0.25">
      <c r="A62" s="3" t="s">
        <v>222</v>
      </c>
      <c r="B62" s="4">
        <v>-211218000</v>
      </c>
    </row>
    <row r="63" spans="1:3" s="3" customFormat="1" ht="15" x14ac:dyDescent="0.25">
      <c r="A63" s="3" t="s">
        <v>223</v>
      </c>
      <c r="B63" s="4">
        <v>-1983796000</v>
      </c>
    </row>
    <row r="64" spans="1:3" s="3" customFormat="1" ht="15" x14ac:dyDescent="0.25">
      <c r="A64" s="3" t="s">
        <v>214</v>
      </c>
      <c r="B64" s="4">
        <v>-112242000</v>
      </c>
    </row>
    <row r="65" spans="1:2" s="3" customFormat="1" ht="15" x14ac:dyDescent="0.25">
      <c r="A65" s="3" t="s">
        <v>224</v>
      </c>
      <c r="B65" s="4"/>
    </row>
    <row r="66" spans="1:2" s="3" customFormat="1" ht="10.5" customHeight="1" x14ac:dyDescent="0.25">
      <c r="A66" s="3" t="s">
        <v>225</v>
      </c>
      <c r="B66" s="4" t="s">
        <v>267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130"/>
  <sheetViews>
    <sheetView topLeftCell="A94" workbookViewId="0">
      <selection activeCell="B8" sqref="B8"/>
    </sheetView>
  </sheetViews>
  <sheetFormatPr defaultRowHeight="15.75" x14ac:dyDescent="0.25"/>
  <cols>
    <col min="1" max="1" width="130.25" bestFit="1" customWidth="1"/>
    <col min="2" max="39" width="20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121</v>
      </c>
    </row>
    <row r="2" spans="1:39" x14ac:dyDescent="0.25">
      <c r="A2" t="s">
        <v>122</v>
      </c>
    </row>
    <row r="3" spans="1:39" x14ac:dyDescent="0.25">
      <c r="A3" t="s">
        <v>164</v>
      </c>
      <c r="B3">
        <v>9152922794.0833054</v>
      </c>
      <c r="C3">
        <v>4482282205.9166956</v>
      </c>
      <c r="D3">
        <v>23868411838.432552</v>
      </c>
      <c r="E3">
        <v>3684768212.171834</v>
      </c>
      <c r="F3">
        <v>1785882589.659152</v>
      </c>
      <c r="G3">
        <v>-4350493589.659152</v>
      </c>
      <c r="H3">
        <v>9339270212.7242508</v>
      </c>
      <c r="I3">
        <v>4731869732.20784</v>
      </c>
      <c r="J3">
        <v>-5527672609.5017405</v>
      </c>
      <c r="K3">
        <v>5564192467.3634138</v>
      </c>
      <c r="M3">
        <v>165978000</v>
      </c>
      <c r="N3">
        <v>1440033000</v>
      </c>
      <c r="O3">
        <v>-1047339000</v>
      </c>
      <c r="P3">
        <v>3086572000</v>
      </c>
      <c r="Q3">
        <v>86347000</v>
      </c>
      <c r="R3">
        <v>-105559000</v>
      </c>
      <c r="S3">
        <v>-634809000</v>
      </c>
      <c r="T3">
        <v>2384890000</v>
      </c>
      <c r="U3">
        <v>545317000</v>
      </c>
      <c r="V3">
        <v>-495102000</v>
      </c>
      <c r="W3">
        <v>-716505000</v>
      </c>
      <c r="X3">
        <v>2562842000</v>
      </c>
      <c r="Y3">
        <v>-255821000</v>
      </c>
      <c r="Z3">
        <v>-936014000</v>
      </c>
      <c r="AA3">
        <v>-394155000</v>
      </c>
      <c r="AB3">
        <v>1185172000</v>
      </c>
      <c r="AC3">
        <v>-383952000</v>
      </c>
      <c r="AD3">
        <v>76009000</v>
      </c>
      <c r="AE3">
        <v>-605029000</v>
      </c>
      <c r="AF3">
        <v>1062494000</v>
      </c>
      <c r="AG3">
        <v>-214835000</v>
      </c>
      <c r="AH3">
        <v>-39082000</v>
      </c>
      <c r="AI3">
        <v>-146045000</v>
      </c>
      <c r="AJ3">
        <v>476330000</v>
      </c>
      <c r="AK3">
        <v>385788000</v>
      </c>
      <c r="AL3">
        <v>318269000</v>
      </c>
      <c r="AM3">
        <v>-199860000</v>
      </c>
    </row>
    <row r="4" spans="1:39" x14ac:dyDescent="0.25">
      <c r="A4" t="s">
        <v>161</v>
      </c>
      <c r="B4">
        <v>4148965137.0329881</v>
      </c>
      <c r="C4">
        <v>2261643862.9670119</v>
      </c>
      <c r="D4">
        <v>10228963245.199169</v>
      </c>
      <c r="E4">
        <v>2608116334.0524759</v>
      </c>
      <c r="F4">
        <v>3110097415.3092203</v>
      </c>
      <c r="G4">
        <v>1813767584.6907797</v>
      </c>
      <c r="H4">
        <v>7019409685.7347727</v>
      </c>
      <c r="I4">
        <v>3285787298.6561737</v>
      </c>
      <c r="J4">
        <v>3551972628.2083459</v>
      </c>
      <c r="K4">
        <v>-1435044413.064918</v>
      </c>
      <c r="M4">
        <v>1938423000</v>
      </c>
      <c r="N4">
        <v>2119870000</v>
      </c>
      <c r="O4">
        <v>1676941000</v>
      </c>
      <c r="P4">
        <v>3991849000</v>
      </c>
      <c r="Q4">
        <v>601448000</v>
      </c>
      <c r="R4">
        <v>1305217000</v>
      </c>
      <c r="S4">
        <v>1228827000</v>
      </c>
      <c r="T4">
        <v>1462741000</v>
      </c>
      <c r="U4">
        <v>1150554000</v>
      </c>
      <c r="V4">
        <v>927757000</v>
      </c>
      <c r="W4">
        <v>920214000</v>
      </c>
      <c r="X4">
        <v>1373739000</v>
      </c>
      <c r="Y4">
        <v>643610000</v>
      </c>
      <c r="Z4">
        <v>705763000</v>
      </c>
      <c r="AA4">
        <v>629561000</v>
      </c>
      <c r="AB4">
        <v>583813000</v>
      </c>
      <c r="AC4">
        <v>793728000</v>
      </c>
      <c r="AD4">
        <v>590464000</v>
      </c>
      <c r="AE4">
        <v>351342000</v>
      </c>
      <c r="AF4">
        <v>623654000</v>
      </c>
      <c r="AG4">
        <v>207698000</v>
      </c>
      <c r="AH4">
        <v>200930000</v>
      </c>
      <c r="AI4">
        <v>343698000</v>
      </c>
      <c r="AJ4">
        <v>406066000</v>
      </c>
      <c r="AK4">
        <v>153175000</v>
      </c>
      <c r="AL4">
        <v>124180000</v>
      </c>
      <c r="AM4">
        <v>111780000</v>
      </c>
    </row>
    <row r="5" spans="1:39" x14ac:dyDescent="0.25">
      <c r="A5" t="s">
        <v>165</v>
      </c>
      <c r="B5">
        <v>587245640.00961185</v>
      </c>
      <c r="C5">
        <v>1734206359.9903882</v>
      </c>
      <c r="D5">
        <v>18766772841.518604</v>
      </c>
      <c r="E5">
        <v>3030231444.2909403</v>
      </c>
      <c r="F5">
        <v>3748020964.4294324</v>
      </c>
      <c r="G5">
        <v>-855186964.42943251</v>
      </c>
      <c r="H5">
        <v>9205338501.4101677</v>
      </c>
      <c r="I5">
        <v>-434228764.36976433</v>
      </c>
      <c r="J5">
        <v>11867597737.283577</v>
      </c>
      <c r="K5">
        <v>4720692163.1385355</v>
      </c>
      <c r="M5">
        <v>680941000</v>
      </c>
      <c r="N5">
        <v>2046581000</v>
      </c>
      <c r="O5">
        <v>915913000</v>
      </c>
      <c r="P5">
        <v>4485683000</v>
      </c>
      <c r="Q5">
        <v>235635000</v>
      </c>
      <c r="R5">
        <v>681429000</v>
      </c>
      <c r="S5">
        <v>696024000</v>
      </c>
      <c r="T5">
        <v>1398243000</v>
      </c>
      <c r="U5">
        <v>995241000</v>
      </c>
      <c r="V5">
        <v>469361000</v>
      </c>
      <c r="W5">
        <v>602463000</v>
      </c>
      <c r="X5">
        <v>1100352000</v>
      </c>
      <c r="Y5">
        <v>160625000</v>
      </c>
      <c r="Z5">
        <v>259529000</v>
      </c>
      <c r="AA5">
        <v>403871000</v>
      </c>
      <c r="AB5">
        <v>1096758000</v>
      </c>
      <c r="AC5">
        <v>369986000</v>
      </c>
      <c r="AD5">
        <v>298061000</v>
      </c>
      <c r="AE5">
        <v>142851000</v>
      </c>
      <c r="AF5">
        <v>470200000</v>
      </c>
      <c r="AG5">
        <v>23354000</v>
      </c>
      <c r="AH5">
        <v>41939000</v>
      </c>
      <c r="AI5">
        <v>-177708000</v>
      </c>
      <c r="AJ5">
        <v>549315000</v>
      </c>
      <c r="AK5">
        <v>-14456000</v>
      </c>
      <c r="AL5">
        <v>124746000</v>
      </c>
      <c r="AM5">
        <v>17986000</v>
      </c>
    </row>
    <row r="6" spans="1:39" x14ac:dyDescent="0.25">
      <c r="A6" t="s">
        <v>166</v>
      </c>
      <c r="B6">
        <v>1004364560.1433654</v>
      </c>
      <c r="C6">
        <v>1241510439.8566346</v>
      </c>
      <c r="D6">
        <v>1067577768.040493</v>
      </c>
      <c r="E6">
        <v>873887236.42207956</v>
      </c>
      <c r="F6">
        <v>898369628.20465088</v>
      </c>
      <c r="G6">
        <v>1009861371.7953491</v>
      </c>
      <c r="H6">
        <v>1917322085.7840018</v>
      </c>
      <c r="I6">
        <v>1665562867.0627847</v>
      </c>
      <c r="J6">
        <v>1261093758.8019838</v>
      </c>
      <c r="K6">
        <v>887048252.46439552</v>
      </c>
      <c r="M6">
        <v>146598000</v>
      </c>
      <c r="N6">
        <v>137489000</v>
      </c>
      <c r="O6">
        <v>130834000</v>
      </c>
      <c r="P6">
        <v>127076000</v>
      </c>
      <c r="Q6">
        <v>110064000</v>
      </c>
      <c r="R6">
        <v>98299000</v>
      </c>
      <c r="S6">
        <v>96752000</v>
      </c>
      <c r="T6">
        <v>73023000</v>
      </c>
      <c r="U6">
        <v>76506000</v>
      </c>
      <c r="V6">
        <v>70078000</v>
      </c>
      <c r="W6">
        <v>65891000</v>
      </c>
      <c r="X6">
        <v>74624000</v>
      </c>
      <c r="Y6">
        <v>60683000</v>
      </c>
      <c r="Z6">
        <v>54784000</v>
      </c>
      <c r="AA6">
        <v>51125000</v>
      </c>
      <c r="AB6">
        <v>46914000</v>
      </c>
      <c r="AC6">
        <v>42718000</v>
      </c>
      <c r="AD6">
        <v>41707000</v>
      </c>
      <c r="AE6">
        <v>40052000</v>
      </c>
      <c r="AF6">
        <v>37052000</v>
      </c>
      <c r="AG6">
        <v>33826000</v>
      </c>
      <c r="AH6">
        <v>31793000</v>
      </c>
      <c r="AI6">
        <v>29954000</v>
      </c>
      <c r="AJ6">
        <v>28379000</v>
      </c>
      <c r="AK6">
        <v>27283000</v>
      </c>
      <c r="AL6">
        <v>28187000</v>
      </c>
      <c r="AM6">
        <v>26311000</v>
      </c>
    </row>
    <row r="7" spans="1:39" x14ac:dyDescent="0.25">
      <c r="A7" t="s">
        <v>167</v>
      </c>
      <c r="B7">
        <v>89370855.910433918</v>
      </c>
      <c r="C7">
        <v>43593144.089566082</v>
      </c>
      <c r="D7">
        <v>-92770873.809078187</v>
      </c>
      <c r="E7">
        <v>38915332.496753961</v>
      </c>
      <c r="F7">
        <v>-69251958.614947766</v>
      </c>
      <c r="G7">
        <v>-32826041.385052238</v>
      </c>
      <c r="H7">
        <v>-45283829.878552228</v>
      </c>
      <c r="I7">
        <v>13562128.239531603</v>
      </c>
      <c r="J7">
        <v>33049943.638958998</v>
      </c>
      <c r="K7">
        <v>-69980349.418313891</v>
      </c>
      <c r="M7">
        <v>-477000</v>
      </c>
      <c r="N7">
        <v>-32220000</v>
      </c>
      <c r="O7">
        <v>9761000</v>
      </c>
      <c r="P7">
        <v>10149000</v>
      </c>
      <c r="Q7">
        <v>31144000</v>
      </c>
      <c r="R7">
        <v>-14770000</v>
      </c>
      <c r="S7">
        <v>14563000</v>
      </c>
      <c r="T7">
        <v>3518000</v>
      </c>
      <c r="U7">
        <v>2155000</v>
      </c>
      <c r="V7">
        <v>-473000</v>
      </c>
      <c r="W7">
        <v>-36391000</v>
      </c>
      <c r="X7">
        <v>59859000</v>
      </c>
      <c r="Y7">
        <v>2392000</v>
      </c>
      <c r="Z7">
        <v>1637000</v>
      </c>
      <c r="AA7">
        <v>562000</v>
      </c>
      <c r="AB7">
        <v>-52249000</v>
      </c>
      <c r="AC7">
        <v>10101000</v>
      </c>
      <c r="AD7">
        <v>2039000</v>
      </c>
      <c r="AE7">
        <v>3329000</v>
      </c>
      <c r="AF7">
        <v>3898000</v>
      </c>
      <c r="AG7">
        <v>1282000</v>
      </c>
      <c r="AH7">
        <v>665000</v>
      </c>
      <c r="AI7">
        <v>1273000</v>
      </c>
      <c r="AJ7">
        <v>1473000</v>
      </c>
      <c r="AK7">
        <v>477000</v>
      </c>
      <c r="AL7">
        <v>1047000</v>
      </c>
      <c r="AM7">
        <v>1414000</v>
      </c>
    </row>
    <row r="8" spans="1:39" x14ac:dyDescent="0.25">
      <c r="A8" t="s">
        <v>168</v>
      </c>
      <c r="B8">
        <v>-1345724389.9258466</v>
      </c>
      <c r="C8">
        <v>351855389.9258467</v>
      </c>
      <c r="D8">
        <v>12324141245.239157</v>
      </c>
      <c r="E8">
        <v>1287019460.5923615</v>
      </c>
      <c r="F8">
        <v>2469634250.9501843</v>
      </c>
      <c r="G8">
        <v>-903865250.95018435</v>
      </c>
      <c r="H8">
        <v>4976268329.8179455</v>
      </c>
      <c r="I8">
        <v>1259191655.6957252</v>
      </c>
      <c r="J8">
        <v>330894357.78762138</v>
      </c>
      <c r="K8">
        <v>783902596.13362205</v>
      </c>
      <c r="M8">
        <v>501455000</v>
      </c>
      <c r="N8">
        <v>616972000</v>
      </c>
      <c r="O8">
        <v>181284000</v>
      </c>
      <c r="P8">
        <v>1390328000</v>
      </c>
      <c r="Q8">
        <v>159274000</v>
      </c>
      <c r="R8">
        <v>303001000</v>
      </c>
      <c r="S8">
        <v>186239000</v>
      </c>
      <c r="T8">
        <v>963201000</v>
      </c>
      <c r="U8">
        <v>318822000</v>
      </c>
      <c r="V8">
        <v>108160000</v>
      </c>
      <c r="W8">
        <v>253366000</v>
      </c>
      <c r="X8">
        <v>419592000</v>
      </c>
      <c r="Y8">
        <v>136748000</v>
      </c>
      <c r="Z8">
        <v>75437000</v>
      </c>
      <c r="AA8">
        <v>98026000</v>
      </c>
      <c r="AB8">
        <v>393971000</v>
      </c>
      <c r="AC8">
        <v>93074000</v>
      </c>
      <c r="AD8">
        <v>191576000</v>
      </c>
      <c r="AE8">
        <v>68508000</v>
      </c>
      <c r="AF8">
        <v>45640000</v>
      </c>
      <c r="AG8">
        <v>94870000</v>
      </c>
      <c r="AH8">
        <v>47698000</v>
      </c>
      <c r="AI8">
        <v>26767000</v>
      </c>
      <c r="AJ8">
        <v>130791000</v>
      </c>
      <c r="AK8">
        <v>41585000</v>
      </c>
      <c r="AL8">
        <v>51424000</v>
      </c>
      <c r="AM8">
        <v>66686000</v>
      </c>
    </row>
    <row r="9" spans="1:39" x14ac:dyDescent="0.25">
      <c r="A9" t="s">
        <v>169</v>
      </c>
    </row>
    <row r="10" spans="1:39" x14ac:dyDescent="0.25">
      <c r="A10" t="s">
        <v>170</v>
      </c>
    </row>
    <row r="11" spans="1:39" x14ac:dyDescent="0.25">
      <c r="A11" t="s">
        <v>171</v>
      </c>
    </row>
    <row r="12" spans="1:39" x14ac:dyDescent="0.25">
      <c r="A12" t="s">
        <v>172</v>
      </c>
      <c r="B12">
        <v>-246581012.25847721</v>
      </c>
      <c r="C12">
        <v>-385255987.74152279</v>
      </c>
      <c r="D12">
        <v>55366520.546188891</v>
      </c>
      <c r="E12">
        <v>-98859179.002913535</v>
      </c>
      <c r="F12">
        <v>299034035.1407423</v>
      </c>
      <c r="G12">
        <v>-667678035.1407423</v>
      </c>
      <c r="H12">
        <v>901903533.0829165</v>
      </c>
      <c r="I12">
        <v>-539358487.6272068</v>
      </c>
      <c r="J12">
        <v>739069027.73405182</v>
      </c>
      <c r="K12">
        <v>-577928970.04398286</v>
      </c>
      <c r="M12">
        <v>-35769000</v>
      </c>
      <c r="N12">
        <v>44926000</v>
      </c>
      <c r="O12">
        <v>-15430000</v>
      </c>
      <c r="P12">
        <v>561591000</v>
      </c>
      <c r="Q12">
        <v>-192789000</v>
      </c>
      <c r="R12">
        <v>-50950000</v>
      </c>
      <c r="S12">
        <v>29089000</v>
      </c>
      <c r="T12">
        <v>-75717000</v>
      </c>
      <c r="U12">
        <v>-96174000</v>
      </c>
      <c r="V12">
        <v>-53827000</v>
      </c>
      <c r="W12">
        <v>18495000</v>
      </c>
      <c r="X12">
        <v>-128719000</v>
      </c>
      <c r="Y12">
        <v>-45920000</v>
      </c>
      <c r="Z12">
        <v>9295000</v>
      </c>
      <c r="AA12">
        <v>13118000</v>
      </c>
      <c r="AB12">
        <v>-109875000</v>
      </c>
      <c r="AC12">
        <v>-82524000</v>
      </c>
      <c r="AD12">
        <v>29172000</v>
      </c>
      <c r="AE12">
        <v>50582000</v>
      </c>
      <c r="AF12">
        <v>8153000</v>
      </c>
      <c r="AG12">
        <v>27373000</v>
      </c>
      <c r="AH12">
        <v>32890000</v>
      </c>
      <c r="AI12">
        <v>45891000</v>
      </c>
      <c r="AJ12">
        <v>-2615000</v>
      </c>
      <c r="AK12">
        <v>-1500000</v>
      </c>
      <c r="AL12">
        <v>-1423000</v>
      </c>
      <c r="AM12">
        <v>-2936000</v>
      </c>
    </row>
    <row r="13" spans="1:39" x14ac:dyDescent="0.25">
      <c r="A13" t="s">
        <v>173</v>
      </c>
    </row>
    <row r="14" spans="1:39" x14ac:dyDescent="0.25">
      <c r="A14" t="s">
        <v>174</v>
      </c>
    </row>
    <row r="15" spans="1:39" x14ac:dyDescent="0.25">
      <c r="A15" t="s">
        <v>175</v>
      </c>
    </row>
    <row r="16" spans="1:39" x14ac:dyDescent="0.25">
      <c r="A16" t="s">
        <v>176</v>
      </c>
    </row>
    <row r="17" spans="1:39" x14ac:dyDescent="0.25">
      <c r="A17" t="s">
        <v>177</v>
      </c>
    </row>
    <row r="18" spans="1:39" x14ac:dyDescent="0.25">
      <c r="A18" t="s">
        <v>178</v>
      </c>
    </row>
    <row r="19" spans="1:39" x14ac:dyDescent="0.25">
      <c r="A19" t="s">
        <v>179</v>
      </c>
      <c r="B19">
        <v>100733464.97940563</v>
      </c>
      <c r="C19">
        <v>106850535.02059437</v>
      </c>
      <c r="D19">
        <v>37364595.615149952</v>
      </c>
      <c r="E19">
        <v>2599283.6122810915</v>
      </c>
      <c r="F19">
        <v>-12067361.510006122</v>
      </c>
      <c r="G19">
        <v>39767361.510006122</v>
      </c>
      <c r="H19">
        <v>-8595556.277660355</v>
      </c>
      <c r="I19">
        <v>66693.762431330979</v>
      </c>
      <c r="J19">
        <v>7163142.3110330477</v>
      </c>
      <c r="K19">
        <v>3847374.7049502921</v>
      </c>
      <c r="M19">
        <v>13179000</v>
      </c>
      <c r="N19">
        <v>-2881000</v>
      </c>
      <c r="O19">
        <v>8390000</v>
      </c>
      <c r="P19">
        <v>-18135000</v>
      </c>
      <c r="Q19">
        <v>13766000</v>
      </c>
      <c r="R19">
        <v>2173000</v>
      </c>
      <c r="S19">
        <v>5016000</v>
      </c>
      <c r="T19">
        <v>-24728000</v>
      </c>
      <c r="U19">
        <v>2813000</v>
      </c>
      <c r="V19">
        <v>1068000</v>
      </c>
      <c r="W19">
        <v>8439000</v>
      </c>
      <c r="X19">
        <v>3711000</v>
      </c>
      <c r="Y19">
        <v>-1185000</v>
      </c>
      <c r="Z19">
        <v>-5989000</v>
      </c>
      <c r="AA19">
        <v>1138000</v>
      </c>
      <c r="AB19">
        <v>1427000</v>
      </c>
      <c r="AC19">
        <v>1576000</v>
      </c>
      <c r="AD19">
        <v>3247000</v>
      </c>
      <c r="AE19">
        <v>2701000</v>
      </c>
      <c r="AF19">
        <v>-7072000</v>
      </c>
      <c r="AG19">
        <v>3492000</v>
      </c>
      <c r="AH19">
        <v>2398000</v>
      </c>
      <c r="AI19">
        <v>-8120000</v>
      </c>
      <c r="AJ19">
        <v>1195000</v>
      </c>
      <c r="AK19">
        <v>-1635000</v>
      </c>
      <c r="AL19">
        <v>-3515000</v>
      </c>
      <c r="AM19">
        <v>3742000</v>
      </c>
    </row>
    <row r="20" spans="1:39" x14ac:dyDescent="0.25">
      <c r="A20" t="s">
        <v>180</v>
      </c>
      <c r="B20">
        <v>-4270488736.9470234</v>
      </c>
      <c r="C20">
        <v>-4525450263.0529766</v>
      </c>
      <c r="D20">
        <v>657300052.36403561</v>
      </c>
      <c r="E20">
        <v>-2539976050.9746037</v>
      </c>
      <c r="F20">
        <v>-3639686052.6112723</v>
      </c>
      <c r="G20">
        <v>-2594486947.3887277</v>
      </c>
      <c r="H20">
        <v>-1031353365.5194433</v>
      </c>
      <c r="I20">
        <v>725944599.24957514</v>
      </c>
      <c r="J20">
        <v>-2354797005.005837</v>
      </c>
      <c r="K20">
        <v>2382877672.2833228</v>
      </c>
      <c r="M20">
        <v>-341929000</v>
      </c>
      <c r="N20">
        <v>246766000</v>
      </c>
      <c r="O20">
        <v>-305918000</v>
      </c>
      <c r="P20">
        <v>115622000</v>
      </c>
      <c r="Q20">
        <v>-121016000</v>
      </c>
      <c r="R20">
        <v>-25262000</v>
      </c>
      <c r="S20">
        <v>99738000</v>
      </c>
      <c r="T20">
        <v>173722000</v>
      </c>
      <c r="U20">
        <v>118801000</v>
      </c>
      <c r="V20">
        <v>75479000</v>
      </c>
      <c r="W20">
        <v>55883000</v>
      </c>
      <c r="X20">
        <v>78289000</v>
      </c>
      <c r="Y20">
        <v>-97717000</v>
      </c>
      <c r="Z20">
        <v>-50765000</v>
      </c>
      <c r="AA20">
        <v>26051000</v>
      </c>
      <c r="AB20">
        <v>-116664000</v>
      </c>
      <c r="AC20">
        <v>74913000</v>
      </c>
      <c r="AD20">
        <v>464000</v>
      </c>
      <c r="AE20">
        <v>-36294000</v>
      </c>
      <c r="AF20">
        <v>-74908000</v>
      </c>
      <c r="AG20">
        <v>-9784000</v>
      </c>
      <c r="AH20">
        <v>-88639000</v>
      </c>
      <c r="AI20">
        <v>-37687000</v>
      </c>
      <c r="AJ20">
        <v>-28040000</v>
      </c>
      <c r="AK20">
        <v>-8134000</v>
      </c>
      <c r="AL20">
        <v>-24746000</v>
      </c>
      <c r="AM20">
        <v>-258000</v>
      </c>
    </row>
    <row r="21" spans="1:39" x14ac:dyDescent="0.25">
      <c r="A21" t="s">
        <v>181</v>
      </c>
    </row>
    <row r="22" spans="1:39" x14ac:dyDescent="0.25">
      <c r="A22" t="s">
        <v>182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-73074000</v>
      </c>
      <c r="AC22">
        <v>14485000</v>
      </c>
      <c r="AD22">
        <v>53605000</v>
      </c>
      <c r="AE22">
        <v>4984000</v>
      </c>
      <c r="AF22">
        <v>55057000</v>
      </c>
      <c r="AG22">
        <v>21047000</v>
      </c>
      <c r="AH22">
        <v>29168000</v>
      </c>
      <c r="AI22">
        <v>6041000</v>
      </c>
      <c r="AJ22">
        <v>11337000</v>
      </c>
      <c r="AK22">
        <v>3246000</v>
      </c>
      <c r="AL22">
        <v>11977000</v>
      </c>
      <c r="AM22">
        <v>678000</v>
      </c>
    </row>
    <row r="23" spans="1:39" x14ac:dyDescent="0.25">
      <c r="A23" t="s">
        <v>183</v>
      </c>
    </row>
    <row r="24" spans="1:39" x14ac:dyDescent="0.25">
      <c r="A24" t="s">
        <v>184</v>
      </c>
    </row>
    <row r="25" spans="1:39" x14ac:dyDescent="0.25">
      <c r="A25" t="s">
        <v>185</v>
      </c>
    </row>
    <row r="26" spans="1:39" x14ac:dyDescent="0.25">
      <c r="A26" t="s">
        <v>186</v>
      </c>
      <c r="B26">
        <v>3193439214.8279514</v>
      </c>
      <c r="C26">
        <v>2937949785.1720486</v>
      </c>
      <c r="D26">
        <v>5068962551.0725813</v>
      </c>
      <c r="E26">
        <v>4744222711.5859652</v>
      </c>
      <c r="F26">
        <v>149180351.42773008</v>
      </c>
      <c r="G26">
        <v>1526476648.5722699</v>
      </c>
      <c r="H26">
        <v>1542115374.8403893</v>
      </c>
      <c r="I26">
        <v>-605163901.23112392</v>
      </c>
      <c r="J26">
        <v>6320659494.0950413</v>
      </c>
      <c r="K26">
        <v>690653535.31482124</v>
      </c>
      <c r="M26">
        <v>193252000</v>
      </c>
      <c r="N26">
        <v>496661000</v>
      </c>
      <c r="O26">
        <v>588386000</v>
      </c>
      <c r="P26">
        <v>1665727000</v>
      </c>
      <c r="Q26">
        <v>-54154000</v>
      </c>
      <c r="R26">
        <v>226481000</v>
      </c>
      <c r="S26">
        <v>318334000</v>
      </c>
      <c r="T26">
        <v>-69610000</v>
      </c>
      <c r="U26">
        <v>406585000</v>
      </c>
      <c r="V26">
        <v>108197000</v>
      </c>
      <c r="W26">
        <v>212964000</v>
      </c>
      <c r="X26">
        <v>130817000</v>
      </c>
      <c r="Y26">
        <v>-55038000</v>
      </c>
      <c r="Z26">
        <v>10616000</v>
      </c>
      <c r="AA26">
        <v>50907000</v>
      </c>
      <c r="AB26">
        <v>-109704000</v>
      </c>
      <c r="AC26">
        <v>221399000</v>
      </c>
      <c r="AD26">
        <v>-13783000</v>
      </c>
      <c r="AE26">
        <v>10406000</v>
      </c>
      <c r="AF26">
        <v>894000</v>
      </c>
      <c r="AG26">
        <v>3562000</v>
      </c>
      <c r="AH26">
        <v>-9907000</v>
      </c>
      <c r="AI26">
        <v>-14108000</v>
      </c>
      <c r="AJ26">
        <v>64588000</v>
      </c>
      <c r="AK26">
        <v>12399000</v>
      </c>
      <c r="AL26">
        <v>9392000</v>
      </c>
      <c r="AM26">
        <v>-20940000</v>
      </c>
    </row>
    <row r="27" spans="1:39" x14ac:dyDescent="0.25">
      <c r="A27" t="s">
        <v>187</v>
      </c>
      <c r="B27">
        <v>2062131683.2798026</v>
      </c>
      <c r="C27">
        <v>1963153316.7201974</v>
      </c>
      <c r="D27">
        <v>-351169017.5499258</v>
      </c>
      <c r="E27">
        <v>-1277577350.4409852</v>
      </c>
      <c r="F27">
        <v>3652808071.4423509</v>
      </c>
      <c r="G27">
        <v>767563928.55764902</v>
      </c>
      <c r="H27">
        <v>952961929.56056881</v>
      </c>
      <c r="I27">
        <v>-2954034319.5214806</v>
      </c>
      <c r="J27">
        <v>5530465017.9207249</v>
      </c>
      <c r="K27">
        <v>620272051.69972014</v>
      </c>
      <c r="M27">
        <v>204632000</v>
      </c>
      <c r="N27">
        <v>538868000</v>
      </c>
      <c r="O27">
        <v>318606000</v>
      </c>
      <c r="P27">
        <v>633325000</v>
      </c>
      <c r="Q27">
        <v>289346000</v>
      </c>
      <c r="R27">
        <v>142457000</v>
      </c>
      <c r="S27">
        <v>-53707000</v>
      </c>
      <c r="T27">
        <v>354834000</v>
      </c>
      <c r="U27">
        <v>165733000</v>
      </c>
      <c r="V27">
        <v>160679000</v>
      </c>
      <c r="W27">
        <v>23816000</v>
      </c>
      <c r="X27">
        <v>462179000</v>
      </c>
      <c r="Y27">
        <v>160662000</v>
      </c>
      <c r="Z27">
        <v>164514000</v>
      </c>
      <c r="AA27">
        <v>162944000</v>
      </c>
      <c r="AB27">
        <v>1116012000</v>
      </c>
      <c r="AC27">
        <v>-5756000</v>
      </c>
      <c r="AD27">
        <v>-9966000</v>
      </c>
      <c r="AE27">
        <v>-1417000</v>
      </c>
      <c r="AF27">
        <v>-796000</v>
      </c>
      <c r="AG27">
        <v>-4986000</v>
      </c>
      <c r="AH27">
        <v>16675000</v>
      </c>
      <c r="AI27">
        <v>-29328000</v>
      </c>
      <c r="AJ27">
        <v>-78496000</v>
      </c>
      <c r="AK27">
        <v>-13850000</v>
      </c>
      <c r="AL27">
        <v>-3523000</v>
      </c>
      <c r="AM27">
        <v>6677000</v>
      </c>
    </row>
    <row r="28" spans="1:39" x14ac:dyDescent="0.25">
      <c r="A28" t="s">
        <v>188</v>
      </c>
      <c r="B28">
        <v>5091263092.9031467</v>
      </c>
      <c r="C28">
        <v>2119136907.0968528</v>
      </c>
      <c r="D28">
        <v>-3210491358.0212383</v>
      </c>
      <c r="E28">
        <v>-897219972.18307877</v>
      </c>
      <c r="F28">
        <v>-4096607148.9327135</v>
      </c>
      <c r="G28">
        <v>-4308248851.0672865</v>
      </c>
      <c r="H28">
        <v>-5148444120.5728683</v>
      </c>
      <c r="I28">
        <v>2326103117.8384762</v>
      </c>
      <c r="J28">
        <v>-18939102054.810745</v>
      </c>
      <c r="K28">
        <v>3051574234.3010182</v>
      </c>
      <c r="M28">
        <v>-2245467000</v>
      </c>
      <c r="N28">
        <v>-2515481000</v>
      </c>
      <c r="O28">
        <v>-3475126000</v>
      </c>
      <c r="P28">
        <v>-5168161000</v>
      </c>
      <c r="Q28">
        <v>-625899000</v>
      </c>
      <c r="R28">
        <v>-1957081000</v>
      </c>
      <c r="S28">
        <v>-2476706000</v>
      </c>
      <c r="T28">
        <v>-370001000</v>
      </c>
      <c r="U28">
        <v>-1534706000</v>
      </c>
      <c r="V28">
        <v>-1827343000</v>
      </c>
      <c r="W28">
        <v>-2146907000</v>
      </c>
      <c r="X28">
        <v>158476000</v>
      </c>
      <c r="Y28">
        <v>-1003991000</v>
      </c>
      <c r="Z28">
        <v>-1853530000</v>
      </c>
      <c r="AA28">
        <v>-1361633000</v>
      </c>
      <c r="AB28">
        <v>-369363000</v>
      </c>
      <c r="AC28">
        <v>-1500420000</v>
      </c>
      <c r="AD28">
        <v>-777553000</v>
      </c>
      <c r="AE28">
        <v>-1068440000</v>
      </c>
      <c r="AF28">
        <v>6310000</v>
      </c>
      <c r="AG28">
        <v>-420299000</v>
      </c>
      <c r="AH28">
        <v>-252566000</v>
      </c>
      <c r="AI28">
        <v>-289750000</v>
      </c>
      <c r="AJ28">
        <v>-434731000</v>
      </c>
      <c r="AK28">
        <v>283970000</v>
      </c>
      <c r="AL28">
        <v>95819000</v>
      </c>
      <c r="AM28">
        <v>-308734000</v>
      </c>
    </row>
    <row r="29" spans="1:39" x14ac:dyDescent="0.25">
      <c r="A29" t="s">
        <v>189</v>
      </c>
    </row>
    <row r="30" spans="1:39" x14ac:dyDescent="0.25">
      <c r="A30" t="s">
        <v>190</v>
      </c>
    </row>
    <row r="31" spans="1:39" x14ac:dyDescent="0.25">
      <c r="A31" t="s">
        <v>191</v>
      </c>
      <c r="B31">
        <v>3176429738.2568054</v>
      </c>
      <c r="C31">
        <v>10093311261.743195</v>
      </c>
      <c r="D31">
        <v>4980585700.0931759</v>
      </c>
      <c r="E31">
        <v>-3566111859.1775661</v>
      </c>
      <c r="F31">
        <v>-6570813385.576829</v>
      </c>
      <c r="G31">
        <v>7742509385.576829</v>
      </c>
      <c r="H31">
        <v>-23948933271.792473</v>
      </c>
      <c r="I31">
        <v>567526634.95830154</v>
      </c>
      <c r="J31">
        <v>-17129761774.777248</v>
      </c>
      <c r="K31">
        <v>8792106172.9680729</v>
      </c>
      <c r="M31">
        <v>156978000</v>
      </c>
      <c r="N31">
        <v>-2252781000</v>
      </c>
      <c r="O31">
        <v>-436966000</v>
      </c>
      <c r="P31">
        <v>-7916568000</v>
      </c>
      <c r="Q31">
        <v>739696000</v>
      </c>
      <c r="R31">
        <v>-41884000</v>
      </c>
      <c r="S31">
        <v>728924000</v>
      </c>
      <c r="T31">
        <v>-2657030000</v>
      </c>
      <c r="U31">
        <v>-1002574000</v>
      </c>
      <c r="V31">
        <v>4637000</v>
      </c>
      <c r="W31">
        <v>186499000</v>
      </c>
      <c r="X31">
        <v>-1590452000</v>
      </c>
      <c r="Y31">
        <v>-32292000</v>
      </c>
      <c r="Z31">
        <v>-731856000</v>
      </c>
      <c r="AA31">
        <v>-1020080000</v>
      </c>
      <c r="AB31">
        <v>-140015000</v>
      </c>
      <c r="AC31">
        <v>-515757000</v>
      </c>
      <c r="AD31">
        <v>-21420000</v>
      </c>
      <c r="AE31">
        <v>-591798000</v>
      </c>
      <c r="AF31">
        <v>-195263000</v>
      </c>
      <c r="AG31">
        <v>-86114000</v>
      </c>
      <c r="AH31">
        <v>468088000</v>
      </c>
      <c r="AI31">
        <v>198601000</v>
      </c>
      <c r="AJ31">
        <v>-909342000</v>
      </c>
      <c r="AK31">
        <v>-34444000</v>
      </c>
      <c r="AL31">
        <v>-162714000</v>
      </c>
      <c r="AM31">
        <v>-28844000</v>
      </c>
    </row>
    <row r="32" spans="1:39" x14ac:dyDescent="0.25">
      <c r="A32" t="s">
        <v>192</v>
      </c>
    </row>
    <row r="33" spans="1:39" x14ac:dyDescent="0.25">
      <c r="A33" t="s">
        <v>193</v>
      </c>
      <c r="B33">
        <v>499330739.17737561</v>
      </c>
      <c r="C33">
        <v>-463661739.17737561</v>
      </c>
      <c r="D33">
        <v>264928797.19876799</v>
      </c>
      <c r="E33">
        <v>-788710674.41096377</v>
      </c>
      <c r="F33">
        <v>652894049.7040298</v>
      </c>
      <c r="G33">
        <v>-250285049.70402986</v>
      </c>
      <c r="H33">
        <v>-939868591.264045</v>
      </c>
      <c r="I33">
        <v>-665084970.3424418</v>
      </c>
      <c r="J33">
        <v>558471298.79782903</v>
      </c>
      <c r="K33">
        <v>-6608466.2930538887</v>
      </c>
      <c r="M33">
        <v>-113153000</v>
      </c>
      <c r="N33">
        <v>191649000</v>
      </c>
      <c r="O33">
        <v>45970000</v>
      </c>
      <c r="P33">
        <v>-231813000</v>
      </c>
      <c r="Q33">
        <v>48000000</v>
      </c>
      <c r="R33">
        <v>88220000</v>
      </c>
      <c r="S33">
        <v>44607000</v>
      </c>
      <c r="T33">
        <v>-201088000</v>
      </c>
      <c r="U33">
        <v>-37262000</v>
      </c>
      <c r="V33">
        <v>-46303000</v>
      </c>
      <c r="W33">
        <v>-7355000</v>
      </c>
      <c r="X33">
        <v>-66460000</v>
      </c>
      <c r="Y33">
        <v>-53241000</v>
      </c>
      <c r="Z33">
        <v>-15162000</v>
      </c>
      <c r="AA33">
        <v>-41874000</v>
      </c>
      <c r="AB33">
        <v>-95851000</v>
      </c>
      <c r="AC33">
        <v>4767000</v>
      </c>
      <c r="AD33">
        <v>-13528000</v>
      </c>
      <c r="AE33">
        <v>13153000</v>
      </c>
      <c r="AF33">
        <v>-17510000</v>
      </c>
      <c r="AG33">
        <v>5258000</v>
      </c>
      <c r="AH33">
        <v>-3652000</v>
      </c>
      <c r="AI33">
        <v>-12511000</v>
      </c>
      <c r="AJ33">
        <v>-32256000</v>
      </c>
      <c r="AK33">
        <v>14378000</v>
      </c>
      <c r="AL33">
        <v>-9059000</v>
      </c>
      <c r="AM33">
        <v>-9540000</v>
      </c>
    </row>
    <row r="34" spans="1:39" x14ac:dyDescent="0.25">
      <c r="A34" t="s">
        <v>194</v>
      </c>
    </row>
    <row r="35" spans="1:39" x14ac:dyDescent="0.25">
      <c r="A35" t="s">
        <v>195</v>
      </c>
    </row>
    <row r="36" spans="1:39" x14ac:dyDescent="0.25">
      <c r="A36" t="s">
        <v>196</v>
      </c>
    </row>
    <row r="37" spans="1:39" x14ac:dyDescent="0.25">
      <c r="A37" t="s">
        <v>197</v>
      </c>
      <c r="B37">
        <v>-3614327280.1173725</v>
      </c>
      <c r="C37">
        <v>1515934280.1173728</v>
      </c>
      <c r="D37">
        <v>1712412121.2255192</v>
      </c>
      <c r="E37">
        <v>-1200819558.8482122</v>
      </c>
      <c r="F37">
        <v>2318105952.6786227</v>
      </c>
      <c r="G37">
        <v>1189583047.3213773</v>
      </c>
      <c r="H37">
        <v>894612441.44598866</v>
      </c>
      <c r="I37">
        <v>-3710691855.373385</v>
      </c>
      <c r="J37">
        <v>-5556801511.809927</v>
      </c>
      <c r="K37">
        <v>1386366631.8854673</v>
      </c>
      <c r="M37">
        <v>-1467732000</v>
      </c>
      <c r="N37">
        <v>-1088445000</v>
      </c>
      <c r="O37">
        <v>-1170127000</v>
      </c>
      <c r="P37">
        <v>-316896000</v>
      </c>
      <c r="Q37">
        <v>-669035000</v>
      </c>
      <c r="R37">
        <v>-784477000</v>
      </c>
      <c r="S37">
        <v>-323707000</v>
      </c>
      <c r="T37">
        <v>493002000</v>
      </c>
      <c r="U37">
        <v>-626382000</v>
      </c>
      <c r="V37">
        <v>-346979000</v>
      </c>
      <c r="W37">
        <v>-532581000</v>
      </c>
      <c r="X37">
        <v>464877000</v>
      </c>
      <c r="Y37">
        <v>-382537000</v>
      </c>
      <c r="Z37">
        <v>-494819000</v>
      </c>
      <c r="AA37">
        <v>-465401000</v>
      </c>
      <c r="AB37">
        <v>-90260000</v>
      </c>
      <c r="AC37">
        <v>-530904000</v>
      </c>
      <c r="AD37">
        <v>-413118000</v>
      </c>
      <c r="AE37">
        <v>-282059000</v>
      </c>
      <c r="AF37">
        <v>-192363000</v>
      </c>
      <c r="AG37">
        <v>-262573000</v>
      </c>
      <c r="AH37">
        <v>-69870000</v>
      </c>
      <c r="AI37">
        <v>-87694000</v>
      </c>
      <c r="AJ37">
        <v>90909000</v>
      </c>
      <c r="AK37">
        <v>-158219000</v>
      </c>
      <c r="AL37">
        <v>-26574000</v>
      </c>
      <c r="AM37">
        <v>-56102000</v>
      </c>
    </row>
    <row r="38" spans="1:39" x14ac:dyDescent="0.25">
      <c r="A38" t="s">
        <v>198</v>
      </c>
    </row>
    <row r="39" spans="1:39" x14ac:dyDescent="0.25">
      <c r="A39" t="s">
        <v>199</v>
      </c>
      <c r="B39">
        <v>-496750002.17958546</v>
      </c>
      <c r="C39">
        <v>-4101751997.8204145</v>
      </c>
      <c r="D39">
        <v>3530458749.1350555</v>
      </c>
      <c r="E39">
        <v>-229351156.95759583</v>
      </c>
      <c r="F39">
        <v>-1039791611.7020736</v>
      </c>
      <c r="G39">
        <v>-1320184388.2979264</v>
      </c>
      <c r="H39">
        <v>2640314829.0375061</v>
      </c>
      <c r="I39">
        <v>1026053436.0798426</v>
      </c>
      <c r="J39">
        <v>-3332793367.6237068</v>
      </c>
      <c r="K39">
        <v>-2362289532.8328981</v>
      </c>
      <c r="M39">
        <v>-433264000</v>
      </c>
      <c r="N39">
        <v>-557584000</v>
      </c>
      <c r="O39">
        <v>-64434000</v>
      </c>
      <c r="P39">
        <v>-239906000</v>
      </c>
      <c r="Q39">
        <v>-103301000</v>
      </c>
      <c r="R39">
        <v>-49829000</v>
      </c>
      <c r="S39">
        <v>-218863000</v>
      </c>
      <c r="T39">
        <v>4548000</v>
      </c>
      <c r="U39">
        <v>-91727000</v>
      </c>
      <c r="V39">
        <v>-58803000</v>
      </c>
      <c r="W39">
        <v>-59004000</v>
      </c>
      <c r="X39">
        <v>101073000</v>
      </c>
      <c r="Y39">
        <v>21689000</v>
      </c>
      <c r="Z39">
        <v>-85602000</v>
      </c>
      <c r="AA39">
        <v>-86524000</v>
      </c>
      <c r="AB39">
        <v>16056000</v>
      </c>
      <c r="AC39">
        <v>-266413000</v>
      </c>
      <c r="AD39">
        <v>-95695000</v>
      </c>
      <c r="AE39">
        <v>-344833000</v>
      </c>
      <c r="AF39">
        <v>18181000</v>
      </c>
      <c r="AG39">
        <v>-104285000</v>
      </c>
      <c r="AH39">
        <v>-160213000</v>
      </c>
      <c r="AI39">
        <v>-257239000</v>
      </c>
      <c r="AJ39">
        <v>-67598000</v>
      </c>
      <c r="AK39">
        <v>-28036000</v>
      </c>
      <c r="AL39">
        <v>-112836000</v>
      </c>
      <c r="AM39">
        <v>-68111000</v>
      </c>
    </row>
    <row r="40" spans="1:39" x14ac:dyDescent="0.25">
      <c r="A40" t="s">
        <v>200</v>
      </c>
      <c r="B40">
        <v>3731389019.6467314</v>
      </c>
      <c r="C40">
        <v>-7628232019.6467314</v>
      </c>
      <c r="D40">
        <v>188612880.34534216</v>
      </c>
      <c r="E40">
        <v>1036200642.6473382</v>
      </c>
      <c r="F40">
        <v>1289342081.2098732</v>
      </c>
      <c r="G40">
        <v>-3445406081.2098732</v>
      </c>
      <c r="H40">
        <v>4942883273.6242743</v>
      </c>
      <c r="I40">
        <v>2595185954.6371875</v>
      </c>
      <c r="J40">
        <v>5795110165.8548203</v>
      </c>
      <c r="K40">
        <v>-3373075973.0587487</v>
      </c>
      <c r="M40">
        <v>400951000</v>
      </c>
      <c r="N40">
        <v>157634000</v>
      </c>
      <c r="O40">
        <v>-735434000</v>
      </c>
      <c r="P40">
        <v>2902475000</v>
      </c>
      <c r="Q40">
        <v>76478000</v>
      </c>
      <c r="R40">
        <v>-129926000</v>
      </c>
      <c r="S40">
        <v>-887475000</v>
      </c>
      <c r="T40">
        <v>1468786000</v>
      </c>
      <c r="U40">
        <v>1187798000</v>
      </c>
      <c r="V40">
        <v>-1010232000</v>
      </c>
      <c r="W40">
        <v>-462800000</v>
      </c>
      <c r="X40">
        <v>760637000</v>
      </c>
      <c r="Y40">
        <v>345949000</v>
      </c>
      <c r="Z40">
        <v>-305434000</v>
      </c>
      <c r="AA40">
        <v>500980000</v>
      </c>
      <c r="AB40">
        <v>1052882000</v>
      </c>
      <c r="AC40">
        <v>-301645000</v>
      </c>
      <c r="AD40">
        <v>97794000</v>
      </c>
      <c r="AE40">
        <v>-78148000</v>
      </c>
      <c r="AF40">
        <v>315481000</v>
      </c>
      <c r="AG40">
        <v>277398000</v>
      </c>
      <c r="AH40">
        <v>14417000</v>
      </c>
      <c r="AI40">
        <v>-46217000</v>
      </c>
      <c r="AJ40">
        <v>291713000</v>
      </c>
      <c r="AK40">
        <v>49913000</v>
      </c>
      <c r="AL40">
        <v>36249000</v>
      </c>
      <c r="AM40">
        <v>-53828000</v>
      </c>
    </row>
    <row r="41" spans="1:39" x14ac:dyDescent="0.25">
      <c r="A41" t="s">
        <v>201</v>
      </c>
    </row>
    <row r="42" spans="1:39" x14ac:dyDescent="0.25">
      <c r="A42" t="s">
        <v>202</v>
      </c>
      <c r="B42">
        <v>748876262.57915378</v>
      </c>
      <c r="C42">
        <v>-487372262.57915384</v>
      </c>
      <c r="D42">
        <v>790662554.67431521</v>
      </c>
      <c r="E42">
        <v>487067620.67723346</v>
      </c>
      <c r="F42">
        <v>-479105419.54655147</v>
      </c>
      <c r="G42">
        <v>1303013419.5465515</v>
      </c>
      <c r="H42">
        <v>98476682.783845663</v>
      </c>
      <c r="I42">
        <v>482753073.02889502</v>
      </c>
      <c r="J42">
        <v>196833233.70493516</v>
      </c>
      <c r="K42">
        <v>177774184.85419288</v>
      </c>
      <c r="M42">
        <v>180987000</v>
      </c>
      <c r="N42">
        <v>63979000</v>
      </c>
      <c r="O42">
        <v>11756000</v>
      </c>
      <c r="P42">
        <v>42064000</v>
      </c>
      <c r="Q42">
        <v>32536000</v>
      </c>
      <c r="R42">
        <v>34918000</v>
      </c>
      <c r="S42">
        <v>-8499000</v>
      </c>
      <c r="T42">
        <v>23242000</v>
      </c>
      <c r="U42">
        <v>15764000</v>
      </c>
      <c r="V42">
        <v>35747000</v>
      </c>
      <c r="W42">
        <v>-15186000</v>
      </c>
      <c r="X42">
        <v>7626000</v>
      </c>
      <c r="Y42">
        <v>82232000</v>
      </c>
      <c r="Z42">
        <v>8120000</v>
      </c>
      <c r="AA42">
        <v>13088000</v>
      </c>
      <c r="AB42">
        <v>-11163000</v>
      </c>
      <c r="AC42">
        <v>-5960000</v>
      </c>
      <c r="AD42">
        <v>7970000</v>
      </c>
      <c r="AE42">
        <v>-2107000</v>
      </c>
      <c r="AF42">
        <v>928000</v>
      </c>
      <c r="AG42">
        <v>21130000</v>
      </c>
      <c r="AH42">
        <v>3712000</v>
      </c>
      <c r="AI42">
        <v>-16473000</v>
      </c>
      <c r="AJ42">
        <v>13641000</v>
      </c>
      <c r="AK42">
        <v>3384000</v>
      </c>
      <c r="AL42">
        <v>528000</v>
      </c>
      <c r="AM42">
        <v>-2305000</v>
      </c>
    </row>
    <row r="43" spans="1:39" x14ac:dyDescent="0.25">
      <c r="A43" t="s">
        <v>203</v>
      </c>
      <c r="B43">
        <v>2394654052.5131235</v>
      </c>
      <c r="C43">
        <v>-1504459052.5131233</v>
      </c>
      <c r="D43">
        <v>-4554598257.2142963</v>
      </c>
      <c r="E43">
        <v>-2448373902.9317245</v>
      </c>
      <c r="F43">
        <v>-4077337615.1406746</v>
      </c>
      <c r="G43">
        <v>-5359462384.8593254</v>
      </c>
      <c r="H43">
        <v>11332571870.394424</v>
      </c>
      <c r="I43">
        <v>-8271695146.0695915</v>
      </c>
      <c r="J43">
        <v>-1513234230.4014387</v>
      </c>
      <c r="K43">
        <v>-4450402378.1684256</v>
      </c>
      <c r="M43">
        <v>-1285510000</v>
      </c>
      <c r="N43">
        <v>-463344000</v>
      </c>
      <c r="O43">
        <v>-1258193000</v>
      </c>
      <c r="P43">
        <v>41672000</v>
      </c>
      <c r="Q43">
        <v>129619000</v>
      </c>
      <c r="R43">
        <v>-389360000</v>
      </c>
      <c r="S43">
        <v>-1261815000</v>
      </c>
      <c r="T43">
        <v>-568227000</v>
      </c>
      <c r="U43">
        <v>497364000</v>
      </c>
      <c r="V43">
        <v>560753000</v>
      </c>
      <c r="W43">
        <v>-1551915000</v>
      </c>
      <c r="X43">
        <v>337869000</v>
      </c>
      <c r="Y43">
        <v>-652127000</v>
      </c>
      <c r="Z43">
        <v>249382000</v>
      </c>
      <c r="AA43">
        <v>148294000</v>
      </c>
      <c r="AB43">
        <v>-653246000</v>
      </c>
      <c r="AC43">
        <v>46485000</v>
      </c>
      <c r="AD43">
        <v>-208710000</v>
      </c>
      <c r="AE43">
        <v>84159000</v>
      </c>
    </row>
    <row r="44" spans="1:39" x14ac:dyDescent="0.25">
      <c r="A44" t="s">
        <v>204</v>
      </c>
      <c r="B44">
        <v>-123478014.14700019</v>
      </c>
      <c r="C44">
        <v>-291544985.85299981</v>
      </c>
      <c r="D44">
        <v>-85356485.0461573</v>
      </c>
      <c r="E44">
        <v>64481962.943756521</v>
      </c>
      <c r="F44">
        <v>5561665.9344973564</v>
      </c>
      <c r="G44">
        <v>-357154665.93449736</v>
      </c>
      <c r="H44">
        <v>-199706536.08092117</v>
      </c>
      <c r="I44">
        <v>48311940.181876183</v>
      </c>
      <c r="J44">
        <v>157745768.19676185</v>
      </c>
      <c r="K44">
        <v>-760008759.54325151</v>
      </c>
      <c r="M44">
        <v>-28948000</v>
      </c>
      <c r="N44">
        <v>1452000</v>
      </c>
      <c r="O44">
        <v>-251229000</v>
      </c>
      <c r="P44">
        <v>3995000</v>
      </c>
      <c r="Q44">
        <v>-12470000</v>
      </c>
      <c r="R44">
        <v>23736000</v>
      </c>
      <c r="S44">
        <v>-93694000</v>
      </c>
      <c r="T44">
        <v>9780000</v>
      </c>
      <c r="U44">
        <v>32680000</v>
      </c>
      <c r="V44">
        <v>-28008000</v>
      </c>
      <c r="W44">
        <v>-23268000</v>
      </c>
      <c r="X44">
        <v>45697000</v>
      </c>
      <c r="Y44">
        <v>8525000</v>
      </c>
      <c r="Z44">
        <v>234000</v>
      </c>
      <c r="AA44">
        <v>6135000</v>
      </c>
      <c r="AB44">
        <v>106000</v>
      </c>
      <c r="AC44">
        <v>489000</v>
      </c>
      <c r="AD44">
        <v>82000</v>
      </c>
      <c r="AE44">
        <v>562000</v>
      </c>
      <c r="AF44">
        <v>-3582000</v>
      </c>
      <c r="AG44">
        <v>-3200000</v>
      </c>
      <c r="AH44">
        <v>1747000</v>
      </c>
      <c r="AI44">
        <v>343000</v>
      </c>
      <c r="AJ44">
        <v>-534000</v>
      </c>
      <c r="AK44">
        <v>-1344000</v>
      </c>
      <c r="AL44">
        <v>2013000</v>
      </c>
      <c r="AM44">
        <v>3248000</v>
      </c>
    </row>
    <row r="45" spans="1:39" x14ac:dyDescent="0.25">
      <c r="A45" t="s">
        <v>205</v>
      </c>
    </row>
    <row r="46" spans="1:39" x14ac:dyDescent="0.25">
      <c r="A46" t="s">
        <v>206</v>
      </c>
      <c r="B46">
        <v>-3966853.3551743161</v>
      </c>
      <c r="C46">
        <v>-7044146.6448256839</v>
      </c>
      <c r="D46">
        <v>-21796383.905823011</v>
      </c>
      <c r="E46">
        <v>1732986.3904107425</v>
      </c>
      <c r="F46">
        <v>-25020.164551949594</v>
      </c>
      <c r="G46">
        <v>318020.16455194959</v>
      </c>
      <c r="H46">
        <v>-27677897.711256847</v>
      </c>
      <c r="I46">
        <v>-18957087.963641733</v>
      </c>
      <c r="J46">
        <v>-19403672.436977148</v>
      </c>
      <c r="K46">
        <v>-31041052.461590961</v>
      </c>
      <c r="M46">
        <v>-5399000</v>
      </c>
      <c r="N46">
        <v>412000</v>
      </c>
      <c r="O46">
        <v>2231000</v>
      </c>
      <c r="P46">
        <v>6261000</v>
      </c>
      <c r="Q46">
        <v>-6473000</v>
      </c>
      <c r="R46">
        <v>-103000</v>
      </c>
      <c r="S46">
        <v>-1907000</v>
      </c>
      <c r="T46">
        <v>-7598000</v>
      </c>
      <c r="U46">
        <v>-1294000</v>
      </c>
      <c r="V46">
        <v>-2338000</v>
      </c>
      <c r="W46">
        <v>-2451000</v>
      </c>
      <c r="X46">
        <v>-2777000</v>
      </c>
      <c r="Y46">
        <v>-1635000</v>
      </c>
      <c r="Z46">
        <v>-3918000</v>
      </c>
      <c r="AA46">
        <v>-2294000</v>
      </c>
      <c r="AB46">
        <v>6640000</v>
      </c>
      <c r="AC46">
        <v>4635000</v>
      </c>
      <c r="AD46">
        <v>2217000</v>
      </c>
      <c r="AE46">
        <v>-1317000</v>
      </c>
      <c r="AF46">
        <v>5341000</v>
      </c>
      <c r="AG46">
        <v>3186000</v>
      </c>
      <c r="AH46">
        <v>4967000</v>
      </c>
      <c r="AI46">
        <v>-119000</v>
      </c>
      <c r="AJ46">
        <v>1403000</v>
      </c>
      <c r="AK46">
        <v>3973000</v>
      </c>
      <c r="AL46">
        <v>1703000</v>
      </c>
      <c r="AM46">
        <v>-1393000</v>
      </c>
    </row>
    <row r="47" spans="1:39" x14ac:dyDescent="0.25">
      <c r="A47" t="s">
        <v>207</v>
      </c>
      <c r="B47">
        <v>771023632.13061237</v>
      </c>
      <c r="C47">
        <v>8359201367.8693876</v>
      </c>
      <c r="D47">
        <v>7876112664.8276768</v>
      </c>
      <c r="E47">
        <v>3492108844.0360074</v>
      </c>
      <c r="F47">
        <v>2873741304.7866278</v>
      </c>
      <c r="G47">
        <v>-6406041304.7866278</v>
      </c>
      <c r="H47">
        <v>-2779007038.889926</v>
      </c>
      <c r="I47">
        <v>3776997043.9751368</v>
      </c>
      <c r="J47">
        <v>1040851279.5694754</v>
      </c>
      <c r="K47">
        <v>535054458.77717394</v>
      </c>
      <c r="M47">
        <v>472407000</v>
      </c>
      <c r="N47">
        <v>1765649000</v>
      </c>
      <c r="O47">
        <v>601322000</v>
      </c>
      <c r="P47">
        <v>459351000</v>
      </c>
      <c r="Q47">
        <v>-684244000</v>
      </c>
      <c r="R47">
        <v>-487863000</v>
      </c>
      <c r="S47">
        <v>-310727000</v>
      </c>
      <c r="T47">
        <v>1116688000</v>
      </c>
      <c r="U47">
        <v>-1399884000</v>
      </c>
      <c r="V47">
        <v>-883629000</v>
      </c>
      <c r="W47">
        <v>386778000</v>
      </c>
      <c r="X47">
        <v>176797000</v>
      </c>
      <c r="Y47">
        <v>-321382000</v>
      </c>
      <c r="Z47">
        <v>-359564000</v>
      </c>
      <c r="AA47">
        <v>-387143000</v>
      </c>
      <c r="AB47">
        <v>-439655000</v>
      </c>
      <c r="AC47">
        <v>179809000</v>
      </c>
      <c r="AD47">
        <v>-58586000</v>
      </c>
      <c r="AE47">
        <v>230439000</v>
      </c>
      <c r="AF47">
        <v>99908000</v>
      </c>
      <c r="AG47">
        <v>-220222000</v>
      </c>
      <c r="AH47">
        <v>-473601000</v>
      </c>
      <c r="AI47">
        <v>-15196000</v>
      </c>
      <c r="AJ47">
        <v>204593000</v>
      </c>
      <c r="AK47">
        <v>453555000</v>
      </c>
      <c r="AL47">
        <v>347084000</v>
      </c>
      <c r="AM47">
        <v>-73637000</v>
      </c>
    </row>
    <row r="48" spans="1:39" x14ac:dyDescent="0.25">
      <c r="A48" t="s">
        <v>208</v>
      </c>
      <c r="B48">
        <v>-1991918201.6015215</v>
      </c>
      <c r="C48">
        <v>-3365243798.3984785</v>
      </c>
      <c r="D48">
        <v>-17892513699.354813</v>
      </c>
      <c r="E48">
        <v>2254555123.4482384</v>
      </c>
      <c r="F48">
        <v>930820848.88431597</v>
      </c>
      <c r="G48">
        <v>2594861151.115684</v>
      </c>
      <c r="H48">
        <v>2837890117.8797169</v>
      </c>
      <c r="I48">
        <v>6495704094.7262955</v>
      </c>
      <c r="J48">
        <v>863880756.11473179</v>
      </c>
      <c r="K48">
        <v>3143698948.1740813</v>
      </c>
      <c r="M48">
        <v>-122784000</v>
      </c>
      <c r="N48">
        <v>-334102000</v>
      </c>
      <c r="O48">
        <v>-220022000</v>
      </c>
      <c r="P48">
        <v>81204000</v>
      </c>
      <c r="Q48">
        <v>-176705000</v>
      </c>
      <c r="R48">
        <v>-220513000</v>
      </c>
      <c r="S48">
        <v>-143550000</v>
      </c>
      <c r="T48">
        <v>-52104000</v>
      </c>
      <c r="U48">
        <v>-109189000</v>
      </c>
      <c r="V48">
        <v>-52188000</v>
      </c>
      <c r="W48">
        <v>-65624000</v>
      </c>
      <c r="X48">
        <v>-76411000</v>
      </c>
      <c r="Y48">
        <v>-19172000</v>
      </c>
      <c r="Z48">
        <v>-114911000</v>
      </c>
      <c r="AA48">
        <v>-26814000</v>
      </c>
      <c r="AB48">
        <v>-14857000</v>
      </c>
      <c r="AC48">
        <v>-115926000</v>
      </c>
      <c r="AD48">
        <v>-74559000</v>
      </c>
      <c r="AE48">
        <v>-96491000</v>
      </c>
      <c r="AF48">
        <v>-24811000</v>
      </c>
      <c r="AG48">
        <v>-50877000</v>
      </c>
      <c r="AH48">
        <v>-38161000</v>
      </c>
      <c r="AI48">
        <v>-53245000</v>
      </c>
      <c r="AJ48">
        <v>-27260000</v>
      </c>
      <c r="AK48">
        <v>-19190000</v>
      </c>
      <c r="AL48">
        <v>19425000</v>
      </c>
      <c r="AM48">
        <v>-18222000</v>
      </c>
    </row>
    <row r="49" spans="1:39" x14ac:dyDescent="0.25">
      <c r="A49" t="s">
        <v>209</v>
      </c>
      <c r="B49">
        <v>9827473869.9457474</v>
      </c>
      <c r="C49">
        <v>6114987130.0542526</v>
      </c>
      <c r="D49">
        <v>25785244728.696526</v>
      </c>
      <c r="E49">
        <v>4741127806.1603394</v>
      </c>
      <c r="F49">
        <v>2761511230.8059392</v>
      </c>
      <c r="G49">
        <v>-3349668230.8059392</v>
      </c>
      <c r="H49">
        <v>11076304066.572071</v>
      </c>
      <c r="I49">
        <v>5177661652.1248884</v>
      </c>
      <c r="J49">
        <v>-3519531689.3188219</v>
      </c>
      <c r="K49">
        <v>6337221984.3746367</v>
      </c>
      <c r="M49">
        <v>373897000</v>
      </c>
      <c r="N49">
        <v>1650970000</v>
      </c>
      <c r="O49">
        <v>-882272000</v>
      </c>
      <c r="P49">
        <v>3309371000</v>
      </c>
      <c r="Q49">
        <v>211184000</v>
      </c>
      <c r="R49">
        <v>29565000</v>
      </c>
      <c r="S49">
        <v>-551855000</v>
      </c>
      <c r="T49">
        <v>2490983000</v>
      </c>
      <c r="U49">
        <v>611089000</v>
      </c>
      <c r="V49">
        <v>-430225000</v>
      </c>
      <c r="W49">
        <v>-624230000</v>
      </c>
      <c r="X49">
        <v>2632567000</v>
      </c>
      <c r="Y49">
        <v>-199756000</v>
      </c>
      <c r="Z49">
        <v>-888238000</v>
      </c>
      <c r="AA49">
        <v>-328201000</v>
      </c>
      <c r="AB49">
        <v>1311208000</v>
      </c>
      <c r="AC49">
        <v>-336706000</v>
      </c>
      <c r="AD49">
        <v>110972000</v>
      </c>
      <c r="AE49">
        <v>-574247000</v>
      </c>
      <c r="AF49">
        <v>1100164000</v>
      </c>
      <c r="AG49">
        <v>-189247000</v>
      </c>
      <c r="AH49">
        <v>-9697000</v>
      </c>
      <c r="AI49">
        <v>-123760000</v>
      </c>
      <c r="AJ49">
        <v>520650000</v>
      </c>
      <c r="AK49">
        <v>422689000</v>
      </c>
      <c r="AL49">
        <v>344745000</v>
      </c>
      <c r="AM49">
        <v>-178968000</v>
      </c>
    </row>
    <row r="50" spans="1:39" x14ac:dyDescent="0.25">
      <c r="A50" t="s">
        <v>210</v>
      </c>
    </row>
    <row r="51" spans="1:39" x14ac:dyDescent="0.25">
      <c r="A51" t="s">
        <v>211</v>
      </c>
    </row>
    <row r="52" spans="1:39" x14ac:dyDescent="0.25">
      <c r="A52" t="s">
        <v>212</v>
      </c>
    </row>
    <row r="53" spans="1:39" x14ac:dyDescent="0.25">
      <c r="A53" t="s">
        <v>213</v>
      </c>
    </row>
    <row r="54" spans="1:39" x14ac:dyDescent="0.25">
      <c r="A54" t="s">
        <v>214</v>
      </c>
      <c r="B54">
        <v>-19274105.229313403</v>
      </c>
      <c r="C54">
        <v>-92967894.770686597</v>
      </c>
      <c r="D54">
        <v>-48328232.453824028</v>
      </c>
      <c r="E54">
        <v>-3920695.221205309</v>
      </c>
      <c r="F54">
        <v>-13779626.454890361</v>
      </c>
      <c r="G54">
        <v>2940626.4548903606</v>
      </c>
      <c r="H54">
        <v>-673363217.71529984</v>
      </c>
      <c r="I54">
        <v>49573218.731555462</v>
      </c>
      <c r="J54">
        <v>-1278151628.3068223</v>
      </c>
      <c r="K54">
        <v>-786164.46596587019</v>
      </c>
      <c r="M54">
        <v>0</v>
      </c>
      <c r="N54">
        <v>-262000</v>
      </c>
      <c r="O54">
        <v>-2139000</v>
      </c>
      <c r="P54">
        <v>0</v>
      </c>
      <c r="Q54">
        <v>-688000</v>
      </c>
      <c r="R54">
        <v>256000</v>
      </c>
      <c r="S54">
        <v>-4202000</v>
      </c>
      <c r="T54">
        <v>158000</v>
      </c>
      <c r="U54">
        <v>-141000</v>
      </c>
      <c r="V54">
        <v>-17000</v>
      </c>
      <c r="W54">
        <v>-12847000</v>
      </c>
      <c r="X54">
        <v>170000</v>
      </c>
      <c r="Y54">
        <v>-2853000</v>
      </c>
      <c r="Z54">
        <v>660000</v>
      </c>
      <c r="AA54">
        <v>-2836000</v>
      </c>
      <c r="AB54">
        <v>-8187000</v>
      </c>
      <c r="AC54">
        <v>2000</v>
      </c>
      <c r="AD54">
        <v>-1000</v>
      </c>
      <c r="AE54">
        <v>-717000</v>
      </c>
      <c r="AF54">
        <v>-1319000</v>
      </c>
      <c r="AG54">
        <v>0</v>
      </c>
      <c r="AH54">
        <v>0</v>
      </c>
      <c r="AI54">
        <v>-427000</v>
      </c>
      <c r="AJ54">
        <v>-1121000</v>
      </c>
      <c r="AK54">
        <v>0</v>
      </c>
      <c r="AL54">
        <v>0</v>
      </c>
      <c r="AM54">
        <v>-2633000</v>
      </c>
    </row>
    <row r="55" spans="1:39" x14ac:dyDescent="0.25">
      <c r="A55" t="s">
        <v>215</v>
      </c>
    </row>
    <row r="56" spans="1:39" x14ac:dyDescent="0.25">
      <c r="A56" t="s">
        <v>216</v>
      </c>
    </row>
    <row r="57" spans="1:39" x14ac:dyDescent="0.25">
      <c r="A57" t="s">
        <v>217</v>
      </c>
    </row>
    <row r="58" spans="1:39" x14ac:dyDescent="0.25">
      <c r="A58" t="s">
        <v>218</v>
      </c>
    </row>
    <row r="59" spans="1:39" x14ac:dyDescent="0.25">
      <c r="A59" t="s">
        <v>219</v>
      </c>
    </row>
    <row r="60" spans="1:39" x14ac:dyDescent="0.25">
      <c r="A60" t="s">
        <v>220</v>
      </c>
    </row>
    <row r="61" spans="1:39" x14ac:dyDescent="0.25">
      <c r="A61" t="s">
        <v>221</v>
      </c>
    </row>
    <row r="62" spans="1:39" x14ac:dyDescent="0.25">
      <c r="A62" t="s">
        <v>222</v>
      </c>
      <c r="B62">
        <v>264279389.63478404</v>
      </c>
      <c r="C62">
        <v>-475497389.63478404</v>
      </c>
      <c r="D62">
        <v>-554413784.26996517</v>
      </c>
      <c r="E62">
        <v>-183440670.6740666</v>
      </c>
      <c r="F62">
        <v>-93448870.297730058</v>
      </c>
      <c r="G62">
        <v>-153134129.70226994</v>
      </c>
      <c r="H62">
        <v>-179615121.49407142</v>
      </c>
      <c r="I62">
        <v>-74951540.781964362</v>
      </c>
      <c r="J62">
        <v>-91566078.162833601</v>
      </c>
      <c r="K62">
        <v>-205723283.21500191</v>
      </c>
      <c r="M62">
        <v>-38840000</v>
      </c>
      <c r="N62">
        <v>-30490000</v>
      </c>
      <c r="O62">
        <v>-19895000</v>
      </c>
      <c r="P62">
        <v>-13008000</v>
      </c>
      <c r="Q62">
        <v>-16417000</v>
      </c>
      <c r="R62">
        <v>-32292000</v>
      </c>
      <c r="S62">
        <v>-15575000</v>
      </c>
      <c r="T62">
        <v>-10339000</v>
      </c>
      <c r="U62">
        <v>-10669000</v>
      </c>
      <c r="V62">
        <v>-6813000</v>
      </c>
      <c r="W62">
        <v>-12555000</v>
      </c>
      <c r="X62">
        <v>-8028000</v>
      </c>
      <c r="Y62">
        <v>-17092000</v>
      </c>
      <c r="Z62">
        <v>-7460000</v>
      </c>
      <c r="AA62">
        <v>-11561000</v>
      </c>
      <c r="AB62">
        <v>-6267000</v>
      </c>
      <c r="AC62">
        <v>-8993000</v>
      </c>
      <c r="AD62">
        <v>-5541000</v>
      </c>
      <c r="AE62">
        <v>-4625000</v>
      </c>
      <c r="AF62">
        <v>-3578000</v>
      </c>
      <c r="AG62">
        <v>-6244000</v>
      </c>
      <c r="AH62">
        <v>-2840000</v>
      </c>
      <c r="AI62">
        <v>-4062000</v>
      </c>
      <c r="AJ62">
        <v>-4059000</v>
      </c>
      <c r="AK62">
        <v>-16360000</v>
      </c>
      <c r="AL62">
        <v>-5955000</v>
      </c>
      <c r="AM62">
        <v>-2859000</v>
      </c>
    </row>
    <row r="63" spans="1:39" x14ac:dyDescent="0.25">
      <c r="A63" t="s">
        <v>223</v>
      </c>
      <c r="B63">
        <v>-919556360.26791298</v>
      </c>
      <c r="C63">
        <v>-1064239639.732087</v>
      </c>
      <c r="D63">
        <v>-1314090873.5401883</v>
      </c>
      <c r="E63">
        <v>-868998228.09323263</v>
      </c>
      <c r="F63">
        <v>-868400144.39416659</v>
      </c>
      <c r="G63">
        <v>-850631855.60583341</v>
      </c>
      <c r="H63">
        <v>-884055514.63844585</v>
      </c>
      <c r="I63">
        <v>-420413597.86663866</v>
      </c>
      <c r="J63">
        <v>-638423213.7132628</v>
      </c>
      <c r="K63">
        <v>-566520069.33025479</v>
      </c>
      <c r="M63">
        <v>-169079000</v>
      </c>
      <c r="N63">
        <v>-180185000</v>
      </c>
      <c r="O63">
        <v>-143033000</v>
      </c>
      <c r="P63">
        <v>-209791000</v>
      </c>
      <c r="Q63">
        <v>-107732000</v>
      </c>
      <c r="R63">
        <v>-103088000</v>
      </c>
      <c r="S63">
        <v>-63177000</v>
      </c>
      <c r="T63">
        <v>-95912000</v>
      </c>
      <c r="U63">
        <v>-54962000</v>
      </c>
      <c r="V63">
        <v>-58047000</v>
      </c>
      <c r="W63">
        <v>-66873000</v>
      </c>
      <c r="X63">
        <v>-61867000</v>
      </c>
      <c r="Y63">
        <v>-36120000</v>
      </c>
      <c r="Z63">
        <v>-40976000</v>
      </c>
      <c r="AA63">
        <v>-51557000</v>
      </c>
      <c r="AB63">
        <v>-111582000</v>
      </c>
      <c r="AC63">
        <v>-38255000</v>
      </c>
      <c r="AD63">
        <v>-29421000</v>
      </c>
      <c r="AE63">
        <v>-25440000</v>
      </c>
      <c r="AF63">
        <v>-32773000</v>
      </c>
      <c r="AG63">
        <v>-19344000</v>
      </c>
      <c r="AH63">
        <v>-26545000</v>
      </c>
      <c r="AI63">
        <v>-17796000</v>
      </c>
      <c r="AJ63">
        <v>-39140000</v>
      </c>
      <c r="AK63">
        <v>-20541000</v>
      </c>
      <c r="AL63">
        <v>-20521000</v>
      </c>
      <c r="AM63">
        <v>-15400000</v>
      </c>
    </row>
    <row r="64" spans="1:39" x14ac:dyDescent="0.25">
      <c r="A64" t="s">
        <v>214</v>
      </c>
      <c r="B64">
        <v>-19274105.229313403</v>
      </c>
      <c r="C64">
        <v>-92967894.770686597</v>
      </c>
      <c r="D64">
        <v>-48328232.453824028</v>
      </c>
      <c r="E64">
        <v>-3920695.221205309</v>
      </c>
      <c r="F64">
        <v>-13779626.454890361</v>
      </c>
      <c r="G64">
        <v>2940626.4548903606</v>
      </c>
      <c r="H64">
        <v>-673363217.71529984</v>
      </c>
      <c r="I64">
        <v>49573218.731555462</v>
      </c>
      <c r="J64">
        <v>-1278151628.3068223</v>
      </c>
      <c r="K64">
        <v>-786164.46596587019</v>
      </c>
      <c r="M64">
        <v>0</v>
      </c>
      <c r="N64">
        <v>-262000</v>
      </c>
      <c r="O64">
        <v>-2139000</v>
      </c>
      <c r="P64">
        <v>0</v>
      </c>
      <c r="Q64">
        <v>-688000</v>
      </c>
      <c r="R64">
        <v>256000</v>
      </c>
      <c r="S64">
        <v>-4202000</v>
      </c>
      <c r="T64">
        <v>158000</v>
      </c>
      <c r="U64">
        <v>-141000</v>
      </c>
      <c r="V64">
        <v>-17000</v>
      </c>
      <c r="W64">
        <v>-12847000</v>
      </c>
      <c r="X64">
        <v>170000</v>
      </c>
      <c r="Y64">
        <v>-2853000</v>
      </c>
      <c r="Z64">
        <v>660000</v>
      </c>
      <c r="AA64">
        <v>-2836000</v>
      </c>
      <c r="AB64">
        <v>-8187000</v>
      </c>
      <c r="AC64">
        <v>2000</v>
      </c>
      <c r="AD64">
        <v>-1000</v>
      </c>
      <c r="AE64">
        <v>-717000</v>
      </c>
      <c r="AF64">
        <v>-1319000</v>
      </c>
      <c r="AG64">
        <v>0</v>
      </c>
      <c r="AH64">
        <v>0</v>
      </c>
      <c r="AI64">
        <v>-427000</v>
      </c>
      <c r="AJ64">
        <v>-1121000</v>
      </c>
      <c r="AK64">
        <v>0</v>
      </c>
      <c r="AL64">
        <v>0</v>
      </c>
      <c r="AM64">
        <v>-2633000</v>
      </c>
    </row>
    <row r="65" spans="1:39" x14ac:dyDescent="0.25">
      <c r="A65" t="s">
        <v>224</v>
      </c>
    </row>
    <row r="66" spans="1:39" x14ac:dyDescent="0.25">
      <c r="A66" t="s">
        <v>225</v>
      </c>
    </row>
    <row r="68" spans="1:39" x14ac:dyDescent="0.25">
      <c r="A68" t="s">
        <v>226</v>
      </c>
      <c r="B68">
        <v>-6696257293.7262449</v>
      </c>
      <c r="C68">
        <v>-6122497706.2737551</v>
      </c>
      <c r="D68">
        <v>-6586754234.5542526</v>
      </c>
      <c r="E68">
        <v>-6967322760.890049</v>
      </c>
      <c r="F68">
        <v>-7815235924.0495625</v>
      </c>
      <c r="G68">
        <v>-3538058075.950438</v>
      </c>
      <c r="H68">
        <v>-2936961797.3651638</v>
      </c>
      <c r="I68">
        <v>-2506783625.5341797</v>
      </c>
      <c r="J68">
        <v>-5955251600.7716398</v>
      </c>
      <c r="K68">
        <v>-8278945735.7710104</v>
      </c>
      <c r="M68">
        <v>-1470124000</v>
      </c>
      <c r="N68">
        <v>-1606659000</v>
      </c>
      <c r="O68">
        <v>-1153081000</v>
      </c>
      <c r="P68">
        <v>-1607284000</v>
      </c>
      <c r="Q68">
        <v>-794838000</v>
      </c>
      <c r="R68">
        <v>-618892000</v>
      </c>
      <c r="S68">
        <v>-484930000</v>
      </c>
      <c r="T68">
        <v>-814512000</v>
      </c>
      <c r="U68">
        <v>-398711000</v>
      </c>
      <c r="V68">
        <v>-399021000</v>
      </c>
      <c r="W68">
        <v>-389033000</v>
      </c>
      <c r="X68">
        <v>-676767000</v>
      </c>
      <c r="Y68">
        <v>-313087000</v>
      </c>
      <c r="Z68">
        <v>-330008000</v>
      </c>
      <c r="AA68">
        <v>-375207000</v>
      </c>
      <c r="AB68">
        <v>-1287573000</v>
      </c>
      <c r="AC68">
        <v>-207509000</v>
      </c>
      <c r="AD68">
        <v>-111638000</v>
      </c>
      <c r="AE68">
        <v>-139283000</v>
      </c>
      <c r="AF68">
        <v>-203894000</v>
      </c>
      <c r="AG68">
        <v>-131040000</v>
      </c>
      <c r="AH68">
        <v>-125462000</v>
      </c>
      <c r="AI68">
        <v>-107850000</v>
      </c>
      <c r="AJ68">
        <v>-175383000</v>
      </c>
      <c r="AK68">
        <v>-79523000</v>
      </c>
      <c r="AL68">
        <v>-58084000</v>
      </c>
      <c r="AM68">
        <v>-46453000</v>
      </c>
    </row>
    <row r="69" spans="1:39" x14ac:dyDescent="0.25">
      <c r="A69" t="s">
        <v>227</v>
      </c>
    </row>
    <row r="70" spans="1:39" x14ac:dyDescent="0.25">
      <c r="A70" t="s">
        <v>228</v>
      </c>
    </row>
    <row r="71" spans="1:39" x14ac:dyDescent="0.25">
      <c r="A71" t="s">
        <v>229</v>
      </c>
    </row>
    <row r="72" spans="1:39" x14ac:dyDescent="0.25">
      <c r="A72" t="s">
        <v>230</v>
      </c>
    </row>
    <row r="73" spans="1:39" x14ac:dyDescent="0.25">
      <c r="A73" t="s">
        <v>231</v>
      </c>
    </row>
    <row r="74" spans="1:39" x14ac:dyDescent="0.25">
      <c r="A74" t="s">
        <v>232</v>
      </c>
    </row>
    <row r="75" spans="1:39" x14ac:dyDescent="0.25">
      <c r="A75" t="s">
        <v>233</v>
      </c>
    </row>
    <row r="76" spans="1:39" x14ac:dyDescent="0.25">
      <c r="A76" t="s">
        <v>220</v>
      </c>
    </row>
    <row r="77" spans="1:39" x14ac:dyDescent="0.25">
      <c r="A77" t="s">
        <v>219</v>
      </c>
    </row>
    <row r="78" spans="1:39" x14ac:dyDescent="0.25">
      <c r="A78" t="s">
        <v>234</v>
      </c>
      <c r="B78">
        <v>108874031.3467741</v>
      </c>
      <c r="C78">
        <v>44295968.653225891</v>
      </c>
      <c r="D78">
        <v>290835116.70483077</v>
      </c>
      <c r="E78">
        <v>154395976.5770973</v>
      </c>
      <c r="F78">
        <v>103397275.71420351</v>
      </c>
      <c r="G78">
        <v>226542724.28579649</v>
      </c>
      <c r="H78">
        <v>557119037.33165383</v>
      </c>
      <c r="I78">
        <v>-77943667.733214691</v>
      </c>
      <c r="J78">
        <v>7484291.3530852348</v>
      </c>
      <c r="K78">
        <v>31702777.486947708</v>
      </c>
      <c r="M78">
        <v>4310000</v>
      </c>
      <c r="N78">
        <v>959000</v>
      </c>
      <c r="O78">
        <v>263000</v>
      </c>
      <c r="P78">
        <v>4525000</v>
      </c>
      <c r="Q78">
        <v>736000</v>
      </c>
      <c r="R78">
        <v>-84000</v>
      </c>
      <c r="S78">
        <v>1223000</v>
      </c>
      <c r="T78">
        <v>12415000</v>
      </c>
      <c r="U78">
        <v>-47000</v>
      </c>
      <c r="V78">
        <v>850000</v>
      </c>
      <c r="W78">
        <v>31000</v>
      </c>
      <c r="X78">
        <v>2547000</v>
      </c>
      <c r="Y78">
        <v>208000</v>
      </c>
      <c r="Z78">
        <v>2000</v>
      </c>
      <c r="AA78">
        <v>182000</v>
      </c>
      <c r="AB78">
        <v>968000</v>
      </c>
      <c r="AC78">
        <v>34000</v>
      </c>
      <c r="AD78">
        <v>16000</v>
      </c>
      <c r="AE78">
        <v>39000</v>
      </c>
      <c r="AF78">
        <v>52000</v>
      </c>
      <c r="AG78">
        <v>141000</v>
      </c>
      <c r="AH78">
        <v>764000</v>
      </c>
      <c r="AI78">
        <v>322000</v>
      </c>
      <c r="AJ78">
        <v>327000</v>
      </c>
      <c r="AK78">
        <v>92000</v>
      </c>
      <c r="AL78">
        <v>122000</v>
      </c>
      <c r="AM78">
        <v>245000</v>
      </c>
    </row>
    <row r="79" spans="1:39" x14ac:dyDescent="0.25">
      <c r="A79" t="s">
        <v>235</v>
      </c>
      <c r="B79">
        <v>-6701204775.3774509</v>
      </c>
      <c r="C79">
        <v>-6311411224.6225491</v>
      </c>
      <c r="D79">
        <v>-6056539795.2155647</v>
      </c>
      <c r="E79">
        <v>-6913316814.9760895</v>
      </c>
      <c r="F79">
        <v>-8027592582.9579411</v>
      </c>
      <c r="G79">
        <v>-3852869417.0420585</v>
      </c>
      <c r="H79">
        <v>-4400499013.3096771</v>
      </c>
      <c r="I79">
        <v>-2460220268.8443851</v>
      </c>
      <c r="J79">
        <v>-5836267793.4003553</v>
      </c>
      <c r="K79">
        <v>-8271236346.4269209</v>
      </c>
      <c r="M79">
        <v>-1432072000</v>
      </c>
      <c r="N79">
        <v>-1539597000</v>
      </c>
      <c r="O79">
        <v>-1083376000</v>
      </c>
      <c r="P79">
        <v>-1516291000</v>
      </c>
      <c r="Q79">
        <v>-748029000</v>
      </c>
      <c r="R79">
        <v>-638258000</v>
      </c>
      <c r="S79">
        <v>-536763000</v>
      </c>
      <c r="T79">
        <v>-871649000</v>
      </c>
      <c r="U79">
        <v>-427637000</v>
      </c>
      <c r="V79">
        <v>-377607000</v>
      </c>
      <c r="W79">
        <v>-403896000</v>
      </c>
      <c r="X79">
        <v>-702206000</v>
      </c>
      <c r="Y79">
        <v>-315590000</v>
      </c>
      <c r="Z79">
        <v>-263196000</v>
      </c>
      <c r="AA79">
        <v>-375866000</v>
      </c>
      <c r="AB79">
        <v>-1303882000</v>
      </c>
      <c r="AC79">
        <v>-192351000</v>
      </c>
      <c r="AD79">
        <v>-107000000</v>
      </c>
      <c r="AE79">
        <v>-135201000</v>
      </c>
      <c r="AF79">
        <v>-199717000</v>
      </c>
      <c r="AG79">
        <v>-129918000</v>
      </c>
      <c r="AH79">
        <v>-128210000</v>
      </c>
      <c r="AI79">
        <v>-103619000</v>
      </c>
      <c r="AJ79">
        <v>-164995000</v>
      </c>
      <c r="AK79">
        <v>-76190000</v>
      </c>
      <c r="AL79">
        <v>-56573000</v>
      </c>
      <c r="AM79">
        <v>-54818000</v>
      </c>
    </row>
    <row r="80" spans="1:39" x14ac:dyDescent="0.25">
      <c r="A80" t="s">
        <v>236</v>
      </c>
    </row>
    <row r="81" spans="1:39" x14ac:dyDescent="0.25">
      <c r="A81" t="s">
        <v>237</v>
      </c>
    </row>
    <row r="82" spans="1:39" x14ac:dyDescent="0.25">
      <c r="A82" t="s">
        <v>238</v>
      </c>
    </row>
    <row r="83" spans="1:39" x14ac:dyDescent="0.25">
      <c r="A83" t="s">
        <v>239</v>
      </c>
    </row>
    <row r="84" spans="1:39" x14ac:dyDescent="0.25">
      <c r="A84" t="s">
        <v>240</v>
      </c>
    </row>
    <row r="85" spans="1:39" x14ac:dyDescent="0.25">
      <c r="A85" t="s">
        <v>241</v>
      </c>
    </row>
    <row r="86" spans="1:39" x14ac:dyDescent="0.25">
      <c r="A86" t="s">
        <v>242</v>
      </c>
    </row>
    <row r="87" spans="1:39" x14ac:dyDescent="0.25">
      <c r="A87" t="s">
        <v>243</v>
      </c>
    </row>
    <row r="88" spans="1:39" x14ac:dyDescent="0.25">
      <c r="A88" t="s">
        <v>244</v>
      </c>
    </row>
    <row r="89" spans="1:39" x14ac:dyDescent="0.25">
      <c r="A89" t="s">
        <v>245</v>
      </c>
    </row>
    <row r="90" spans="1:39" x14ac:dyDescent="0.25">
      <c r="A90" t="s">
        <v>246</v>
      </c>
      <c r="C90">
        <v>0</v>
      </c>
      <c r="D90">
        <v>0</v>
      </c>
      <c r="G90">
        <v>0</v>
      </c>
      <c r="H90">
        <v>0</v>
      </c>
      <c r="I90">
        <v>0</v>
      </c>
      <c r="J90">
        <v>0</v>
      </c>
      <c r="K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6039000</v>
      </c>
      <c r="W90">
        <v>0</v>
      </c>
      <c r="X90">
        <v>-7194000</v>
      </c>
      <c r="Y90">
        <v>0</v>
      </c>
      <c r="Z90">
        <v>1155000</v>
      </c>
      <c r="AA90">
        <v>0</v>
      </c>
    </row>
    <row r="91" spans="1:39" x14ac:dyDescent="0.25">
      <c r="A91" t="s">
        <v>247</v>
      </c>
    </row>
    <row r="92" spans="1:39" x14ac:dyDescent="0.25">
      <c r="A92" t="s">
        <v>248</v>
      </c>
    </row>
    <row r="93" spans="1:39" x14ac:dyDescent="0.25">
      <c r="A93" t="s">
        <v>211</v>
      </c>
      <c r="D93">
        <v>-3245143.9578075185</v>
      </c>
      <c r="E93">
        <v>-4978272.1640751064</v>
      </c>
      <c r="H93">
        <v>1506552.9537202977</v>
      </c>
      <c r="I93">
        <v>-700472.08617632464</v>
      </c>
      <c r="J93">
        <v>25117699.740006644</v>
      </c>
      <c r="K93">
        <v>0</v>
      </c>
      <c r="M93">
        <v>-1000</v>
      </c>
      <c r="N93">
        <v>4959000</v>
      </c>
      <c r="O93">
        <v>0</v>
      </c>
      <c r="P93">
        <v>-175000</v>
      </c>
      <c r="Q93">
        <v>7172000</v>
      </c>
      <c r="R93">
        <v>0</v>
      </c>
      <c r="S93">
        <v>0</v>
      </c>
      <c r="T93">
        <v>222000</v>
      </c>
      <c r="U93">
        <v>0</v>
      </c>
      <c r="V93">
        <v>1805000</v>
      </c>
      <c r="W93">
        <v>3409000</v>
      </c>
      <c r="X93">
        <v>4618000</v>
      </c>
      <c r="Y93">
        <v>0</v>
      </c>
      <c r="Z93">
        <v>0</v>
      </c>
      <c r="AA93">
        <v>0</v>
      </c>
      <c r="AB93">
        <v>38000</v>
      </c>
      <c r="AC93">
        <v>1724000</v>
      </c>
      <c r="AD93">
        <v>2760000</v>
      </c>
      <c r="AE93">
        <v>700000</v>
      </c>
      <c r="AF93">
        <v>0</v>
      </c>
      <c r="AG93">
        <v>0</v>
      </c>
      <c r="AH93">
        <v>0</v>
      </c>
      <c r="AI93">
        <v>8938000</v>
      </c>
      <c r="AJ93">
        <v>0</v>
      </c>
      <c r="AK93">
        <v>0</v>
      </c>
      <c r="AL93">
        <v>0</v>
      </c>
      <c r="AM93">
        <v>8171000</v>
      </c>
    </row>
    <row r="94" spans="1:39" x14ac:dyDescent="0.25">
      <c r="A94" t="s">
        <v>212</v>
      </c>
    </row>
    <row r="95" spans="1:39" x14ac:dyDescent="0.25">
      <c r="A95" t="s">
        <v>213</v>
      </c>
    </row>
    <row r="96" spans="1:39" x14ac:dyDescent="0.25">
      <c r="A96" t="s">
        <v>215</v>
      </c>
    </row>
    <row r="97" spans="1:39" x14ac:dyDescent="0.25">
      <c r="A97" t="s">
        <v>216</v>
      </c>
    </row>
    <row r="98" spans="1:39" x14ac:dyDescent="0.25">
      <c r="A98" t="s">
        <v>214</v>
      </c>
    </row>
    <row r="99" spans="1:39" x14ac:dyDescent="0.25">
      <c r="A99" t="s">
        <v>224</v>
      </c>
      <c r="B99">
        <v>-170472549.69556874</v>
      </c>
      <c r="C99">
        <v>144617549.69556874</v>
      </c>
      <c r="D99">
        <v>-817804412.08571625</v>
      </c>
      <c r="E99">
        <v>-203423650.3269785</v>
      </c>
      <c r="F99">
        <v>48524383.194176033</v>
      </c>
      <c r="G99">
        <v>88268616.805823967</v>
      </c>
      <c r="H99">
        <v>904911625.65913975</v>
      </c>
      <c r="I99">
        <v>32080783.12959677</v>
      </c>
      <c r="J99">
        <v>-151585798.46437609</v>
      </c>
      <c r="K99">
        <v>-39412166.831037603</v>
      </c>
      <c r="M99">
        <v>-42361000</v>
      </c>
      <c r="N99">
        <v>-72980000</v>
      </c>
      <c r="O99">
        <v>-69968000</v>
      </c>
      <c r="P99">
        <v>-95343000</v>
      </c>
      <c r="Q99">
        <v>-54717000</v>
      </c>
      <c r="R99">
        <v>19450000</v>
      </c>
      <c r="S99">
        <v>50610000</v>
      </c>
      <c r="T99">
        <v>44500000</v>
      </c>
      <c r="U99">
        <v>28973000</v>
      </c>
      <c r="V99">
        <v>-30108000</v>
      </c>
      <c r="W99">
        <v>11423000</v>
      </c>
      <c r="X99">
        <v>25468000</v>
      </c>
      <c r="Y99">
        <v>2295000</v>
      </c>
      <c r="Z99">
        <v>-67969000</v>
      </c>
      <c r="AA99">
        <v>477000</v>
      </c>
      <c r="AB99">
        <v>15303000</v>
      </c>
      <c r="AC99">
        <v>-16916000</v>
      </c>
      <c r="AD99">
        <v>-7414000</v>
      </c>
      <c r="AE99">
        <v>-4821000</v>
      </c>
      <c r="AF99">
        <v>-4229000</v>
      </c>
      <c r="AG99">
        <v>-1263000</v>
      </c>
      <c r="AH99">
        <v>1984000</v>
      </c>
      <c r="AI99">
        <v>-13491000</v>
      </c>
      <c r="AJ99">
        <v>-10715000</v>
      </c>
      <c r="AK99">
        <v>-3425000</v>
      </c>
      <c r="AL99">
        <v>-1633000</v>
      </c>
      <c r="AM99">
        <v>-51000</v>
      </c>
    </row>
    <row r="100" spans="1:39" x14ac:dyDescent="0.25">
      <c r="A100" t="s">
        <v>225</v>
      </c>
    </row>
    <row r="102" spans="1:39" x14ac:dyDescent="0.25">
      <c r="A102" t="s">
        <v>249</v>
      </c>
      <c r="B102">
        <v>604653936.04743624</v>
      </c>
      <c r="C102">
        <v>-2531853936.0474362</v>
      </c>
      <c r="D102">
        <v>-1787061223.7022648</v>
      </c>
      <c r="E102">
        <v>5825108695.3716335</v>
      </c>
      <c r="F102">
        <v>4970473307.2945042</v>
      </c>
      <c r="G102">
        <v>2679104692.7054954</v>
      </c>
      <c r="H102">
        <v>3215276908.3436818</v>
      </c>
      <c r="I102">
        <v>844441192.81803846</v>
      </c>
      <c r="J102">
        <v>5573656963.4462566</v>
      </c>
      <c r="K102">
        <v>-2640471706.3244643</v>
      </c>
      <c r="M102">
        <v>356998000</v>
      </c>
      <c r="N102">
        <v>142966000</v>
      </c>
      <c r="O102">
        <v>1808856000</v>
      </c>
      <c r="P102">
        <v>-357004000</v>
      </c>
      <c r="Q102">
        <v>-453142000</v>
      </c>
      <c r="R102">
        <v>36146000</v>
      </c>
      <c r="S102">
        <v>19699000</v>
      </c>
      <c r="T102">
        <v>567740000</v>
      </c>
      <c r="U102">
        <v>129207000</v>
      </c>
      <c r="V102">
        <v>714852000</v>
      </c>
      <c r="W102">
        <v>-669711000</v>
      </c>
      <c r="X102">
        <v>-135858000</v>
      </c>
      <c r="Y102">
        <v>716046000</v>
      </c>
      <c r="Z102">
        <v>330222000</v>
      </c>
      <c r="AA102">
        <v>220250000</v>
      </c>
      <c r="AB102">
        <v>156915000</v>
      </c>
      <c r="AC102">
        <v>173740000</v>
      </c>
      <c r="AD102">
        <v>2982881000</v>
      </c>
      <c r="AE102">
        <v>-44782000</v>
      </c>
      <c r="AF102">
        <v>67044000</v>
      </c>
      <c r="AG102">
        <v>-6618000</v>
      </c>
      <c r="AH102">
        <v>-9233000</v>
      </c>
      <c r="AI102">
        <v>-72347000</v>
      </c>
      <c r="AJ102">
        <v>-31945000</v>
      </c>
      <c r="AK102">
        <v>-51993000</v>
      </c>
      <c r="AL102">
        <v>-51745000</v>
      </c>
      <c r="AM102">
        <v>-86897000</v>
      </c>
    </row>
    <row r="103" spans="1:39" x14ac:dyDescent="0.25">
      <c r="A103" t="s">
        <v>250</v>
      </c>
    </row>
    <row r="104" spans="1:39" x14ac:dyDescent="0.25">
      <c r="A104" t="s">
        <v>251</v>
      </c>
    </row>
    <row r="105" spans="1:39" x14ac:dyDescent="0.25">
      <c r="A105" t="s">
        <v>252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-5019000</v>
      </c>
      <c r="AF105">
        <v>0</v>
      </c>
      <c r="AG105">
        <v>0</v>
      </c>
    </row>
    <row r="106" spans="1:39" x14ac:dyDescent="0.25">
      <c r="A106" t="s">
        <v>253</v>
      </c>
    </row>
    <row r="107" spans="1:39" x14ac:dyDescent="0.25">
      <c r="A107" t="s">
        <v>254</v>
      </c>
    </row>
    <row r="108" spans="1:39" x14ac:dyDescent="0.25">
      <c r="A108" t="s">
        <v>255</v>
      </c>
    </row>
    <row r="109" spans="1:39" x14ac:dyDescent="0.25">
      <c r="A109" t="s">
        <v>256</v>
      </c>
    </row>
    <row r="110" spans="1:39" x14ac:dyDescent="0.25">
      <c r="A110" t="s">
        <v>257</v>
      </c>
      <c r="B110">
        <v>94878561.40576458</v>
      </c>
      <c r="C110">
        <v>7087892438.5942354</v>
      </c>
      <c r="D110">
        <v>10336370104.558372</v>
      </c>
      <c r="E110">
        <v>12788477227.083801</v>
      </c>
      <c r="F110">
        <v>6935533920.2488251</v>
      </c>
      <c r="G110">
        <v>10285689079.751175</v>
      </c>
      <c r="H110">
        <v>15137843495.671902</v>
      </c>
      <c r="I110">
        <v>1561638025.9404335</v>
      </c>
      <c r="J110">
        <v>6765327502.5071621</v>
      </c>
      <c r="K110">
        <v>9410529200.979681</v>
      </c>
      <c r="M110">
        <v>2983868000</v>
      </c>
      <c r="N110">
        <v>1017105000</v>
      </c>
      <c r="O110">
        <v>3238675000</v>
      </c>
      <c r="P110">
        <v>679512000</v>
      </c>
      <c r="Q110">
        <v>2176315000</v>
      </c>
      <c r="R110">
        <v>2915619000</v>
      </c>
      <c r="S110">
        <v>237143000</v>
      </c>
      <c r="T110">
        <v>3409632000</v>
      </c>
      <c r="U110">
        <v>2101967000</v>
      </c>
      <c r="V110">
        <v>1065252000</v>
      </c>
      <c r="W110">
        <v>277701000</v>
      </c>
      <c r="X110">
        <v>1249959000</v>
      </c>
      <c r="Y110">
        <v>780304000</v>
      </c>
      <c r="Z110">
        <v>747460000</v>
      </c>
      <c r="AA110">
        <v>790514000</v>
      </c>
      <c r="AB110">
        <v>280746000</v>
      </c>
      <c r="AC110">
        <v>424417000</v>
      </c>
      <c r="AD110">
        <v>326600000</v>
      </c>
      <c r="AE110">
        <v>96582000</v>
      </c>
      <c r="AF110">
        <v>368813000</v>
      </c>
      <c r="AG110">
        <v>159948000</v>
      </c>
      <c r="AH110">
        <v>173903000</v>
      </c>
      <c r="AI110">
        <v>202748000</v>
      </c>
      <c r="AJ110">
        <v>-16611000</v>
      </c>
      <c r="AK110">
        <v>231073000</v>
      </c>
      <c r="AL110">
        <v>111266000</v>
      </c>
      <c r="AM110">
        <v>85022000</v>
      </c>
    </row>
    <row r="111" spans="1:39" x14ac:dyDescent="0.25">
      <c r="A111" t="s">
        <v>258</v>
      </c>
      <c r="B111">
        <v>509775374.64167213</v>
      </c>
      <c r="C111">
        <v>-9619746374.6416721</v>
      </c>
      <c r="D111">
        <v>-11925502172.420742</v>
      </c>
      <c r="E111">
        <v>-6963368531.7121658</v>
      </c>
      <c r="F111">
        <v>-1965060612.95432</v>
      </c>
      <c r="G111">
        <v>-7606584387.04568</v>
      </c>
      <c r="H111">
        <v>-11776088507.496956</v>
      </c>
      <c r="I111">
        <v>-494368087.62725258</v>
      </c>
      <c r="J111">
        <v>-1191670539.0609055</v>
      </c>
      <c r="K111">
        <v>-12051000907.304148</v>
      </c>
      <c r="M111">
        <v>-2626870000</v>
      </c>
      <c r="N111">
        <v>-874139000</v>
      </c>
      <c r="O111">
        <v>-1429819000</v>
      </c>
      <c r="P111">
        <v>-933124000</v>
      </c>
      <c r="Q111">
        <v>-2629457000</v>
      </c>
      <c r="R111">
        <v>-2879473000</v>
      </c>
      <c r="S111">
        <v>-217444000</v>
      </c>
      <c r="T111">
        <v>-2701362000</v>
      </c>
      <c r="U111">
        <v>-1861093000</v>
      </c>
      <c r="V111">
        <v>-350400000</v>
      </c>
      <c r="W111">
        <v>-947412000</v>
      </c>
      <c r="X111">
        <v>-1327817000</v>
      </c>
      <c r="Y111">
        <v>-6258000</v>
      </c>
      <c r="Z111">
        <v>-359238000</v>
      </c>
      <c r="AA111">
        <v>-570264000</v>
      </c>
      <c r="AB111">
        <v>-255207000</v>
      </c>
      <c r="AC111">
        <v>-310815000</v>
      </c>
      <c r="AD111">
        <v>-278109000</v>
      </c>
      <c r="AE111">
        <v>-146961000</v>
      </c>
      <c r="AF111">
        <v>-284689000</v>
      </c>
      <c r="AG111">
        <v>-135656000</v>
      </c>
      <c r="AH111">
        <v>-161266000</v>
      </c>
      <c r="AI111">
        <v>-281461000</v>
      </c>
      <c r="AJ111">
        <v>-3366000</v>
      </c>
      <c r="AK111">
        <v>-270707000</v>
      </c>
      <c r="AL111">
        <v>-150208000</v>
      </c>
      <c r="AM111">
        <v>-176083000</v>
      </c>
    </row>
    <row r="112" spans="1:39" x14ac:dyDescent="0.25">
      <c r="A112" t="s">
        <v>259</v>
      </c>
    </row>
    <row r="113" spans="1:39" x14ac:dyDescent="0.25">
      <c r="A113" t="s">
        <v>260</v>
      </c>
    </row>
    <row r="114" spans="1:39" x14ac:dyDescent="0.25">
      <c r="A114" t="s">
        <v>261</v>
      </c>
    </row>
    <row r="115" spans="1:39" x14ac:dyDescent="0.25">
      <c r="A115" t="s">
        <v>246</v>
      </c>
    </row>
    <row r="116" spans="1:39" x14ac:dyDescent="0.25">
      <c r="A116" t="s">
        <v>247</v>
      </c>
    </row>
    <row r="117" spans="1:39" x14ac:dyDescent="0.25">
      <c r="A117" t="s">
        <v>248</v>
      </c>
    </row>
    <row r="118" spans="1:39" x14ac:dyDescent="0.25">
      <c r="A118" t="s">
        <v>210</v>
      </c>
      <c r="B118">
        <v>0</v>
      </c>
      <c r="C118">
        <v>0</v>
      </c>
      <c r="D118">
        <v>-197929155.83989871</v>
      </c>
      <c r="E118">
        <v>0</v>
      </c>
      <c r="F118">
        <v>0</v>
      </c>
      <c r="G118">
        <v>0</v>
      </c>
      <c r="H118">
        <v>-146478079.83126593</v>
      </c>
      <c r="I118">
        <v>-222828745.49513888</v>
      </c>
      <c r="J118">
        <v>0</v>
      </c>
      <c r="K118">
        <v>0</v>
      </c>
      <c r="M118">
        <v>0</v>
      </c>
      <c r="N118">
        <v>0</v>
      </c>
      <c r="O118">
        <v>0</v>
      </c>
      <c r="P118">
        <v>-103392000</v>
      </c>
      <c r="Q118">
        <v>0</v>
      </c>
      <c r="R118">
        <v>0</v>
      </c>
      <c r="S118">
        <v>0</v>
      </c>
      <c r="T118">
        <v>-140530000</v>
      </c>
      <c r="U118">
        <v>-111667000</v>
      </c>
      <c r="V118">
        <v>0</v>
      </c>
      <c r="W118">
        <v>0</v>
      </c>
      <c r="X118">
        <v>-58000000</v>
      </c>
      <c r="Y118">
        <v>-58000000</v>
      </c>
      <c r="Z118">
        <v>-58000000</v>
      </c>
      <c r="AA118">
        <v>0</v>
      </c>
      <c r="AB118">
        <v>-28200000</v>
      </c>
      <c r="AC118">
        <v>-28200000</v>
      </c>
      <c r="AF118">
        <v>-21333000</v>
      </c>
      <c r="AG118">
        <v>-29000000</v>
      </c>
      <c r="AH118">
        <v>-25167000</v>
      </c>
      <c r="AI118">
        <v>0</v>
      </c>
      <c r="AJ118">
        <v>-14000000</v>
      </c>
      <c r="AK118">
        <v>-14000000</v>
      </c>
      <c r="AL118">
        <v>-14000000</v>
      </c>
      <c r="AM118">
        <v>0</v>
      </c>
    </row>
    <row r="119" spans="1:39" x14ac:dyDescent="0.25">
      <c r="A119" t="s">
        <v>212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-12641000</v>
      </c>
      <c r="AC119">
        <v>-4167000</v>
      </c>
      <c r="AD119">
        <v>-7380000</v>
      </c>
      <c r="AE119">
        <v>-954000</v>
      </c>
      <c r="AF119">
        <v>-2245000</v>
      </c>
      <c r="AG119">
        <v>-6064000</v>
      </c>
      <c r="AH119">
        <v>-3746000</v>
      </c>
      <c r="AI119">
        <v>-3453000</v>
      </c>
      <c r="AJ119">
        <v>-2868000</v>
      </c>
      <c r="AK119">
        <v>-1955000</v>
      </c>
      <c r="AL119">
        <v>-1348000</v>
      </c>
      <c r="AM119">
        <v>-1339000</v>
      </c>
    </row>
    <row r="120" spans="1:39" x14ac:dyDescent="0.25">
      <c r="A120" t="s">
        <v>213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172217000</v>
      </c>
      <c r="AC120">
        <v>97524000</v>
      </c>
      <c r="AD120">
        <v>28228000</v>
      </c>
      <c r="AE120">
        <v>6551000</v>
      </c>
      <c r="AF120">
        <v>6498000</v>
      </c>
      <c r="AG120">
        <v>4154000</v>
      </c>
      <c r="AH120">
        <v>7043000</v>
      </c>
      <c r="AI120">
        <v>9819000</v>
      </c>
      <c r="AJ120">
        <v>4900000</v>
      </c>
      <c r="AK120">
        <v>3608000</v>
      </c>
      <c r="AL120">
        <v>2556000</v>
      </c>
      <c r="AM120">
        <v>5547000</v>
      </c>
    </row>
    <row r="121" spans="1:39" x14ac:dyDescent="0.25">
      <c r="A121" t="s">
        <v>215</v>
      </c>
    </row>
    <row r="122" spans="1:39" x14ac:dyDescent="0.25">
      <c r="A122" t="s">
        <v>216</v>
      </c>
    </row>
    <row r="123" spans="1:39" x14ac:dyDescent="0.25">
      <c r="A123" t="s">
        <v>214</v>
      </c>
    </row>
    <row r="124" spans="1:39" x14ac:dyDescent="0.25">
      <c r="A124" t="s">
        <v>224</v>
      </c>
    </row>
    <row r="125" spans="1:39" x14ac:dyDescent="0.25">
      <c r="A125" t="s">
        <v>225</v>
      </c>
    </row>
    <row r="126" spans="1:39" x14ac:dyDescent="0.25">
      <c r="A126" t="s">
        <v>262</v>
      </c>
      <c r="B126">
        <v>3061319436.4044957</v>
      </c>
      <c r="C126">
        <v>-4172069436.4044957</v>
      </c>
      <c r="D126">
        <v>15494596380.176033</v>
      </c>
      <c r="E126">
        <v>2542554146.6534181</v>
      </c>
      <c r="F126">
        <v>-1058880027.0959053</v>
      </c>
      <c r="G126">
        <v>-5209446972.9040947</v>
      </c>
      <c r="H126">
        <v>9617585323.7027702</v>
      </c>
      <c r="I126">
        <v>3069527299.4916983</v>
      </c>
      <c r="J126">
        <v>-5909267246.8271246</v>
      </c>
      <c r="K126">
        <v>-5355224974.7320604</v>
      </c>
      <c r="M126">
        <v>-947148000</v>
      </c>
      <c r="N126">
        <v>-23660000</v>
      </c>
      <c r="O126">
        <v>-391564000</v>
      </c>
      <c r="P126">
        <v>1122284000</v>
      </c>
      <c r="Q126">
        <v>-1161633000</v>
      </c>
      <c r="R126">
        <v>-688305000</v>
      </c>
      <c r="S126">
        <v>-1100040000</v>
      </c>
      <c r="T126">
        <v>2138118000</v>
      </c>
      <c r="U126">
        <v>275813000</v>
      </c>
      <c r="V126">
        <v>-179271000</v>
      </c>
      <c r="W126">
        <v>-1775249000</v>
      </c>
      <c r="X126">
        <v>1750217000</v>
      </c>
      <c r="Y126">
        <v>147138000</v>
      </c>
      <c r="Z126">
        <v>-935800000</v>
      </c>
      <c r="AA126">
        <v>-549112000</v>
      </c>
      <c r="AB126">
        <v>54514000</v>
      </c>
      <c r="AC126">
        <v>-417721000</v>
      </c>
      <c r="AD126">
        <v>2947252000</v>
      </c>
      <c r="AE126">
        <v>-789094000</v>
      </c>
      <c r="AF126">
        <v>925644000</v>
      </c>
      <c r="AG126">
        <v>-352493000</v>
      </c>
      <c r="AH126">
        <v>-173777000</v>
      </c>
      <c r="AI126">
        <v>-326242000</v>
      </c>
      <c r="AJ126">
        <v>269002000</v>
      </c>
      <c r="AK126">
        <v>254272000</v>
      </c>
      <c r="AL126">
        <v>208440000</v>
      </c>
      <c r="AM126">
        <v>-333210000</v>
      </c>
    </row>
    <row r="127" spans="1:39" x14ac:dyDescent="0.25">
      <c r="A127" t="s">
        <v>263</v>
      </c>
      <c r="B127">
        <v>-823424413.78960228</v>
      </c>
      <c r="C127">
        <v>-1685413586.2103977</v>
      </c>
      <c r="D127">
        <v>-542929567.76200342</v>
      </c>
      <c r="E127">
        <v>-670714242.84685087</v>
      </c>
      <c r="F127">
        <v>-849687114.85468864</v>
      </c>
      <c r="G127">
        <v>-1413815885.1453114</v>
      </c>
      <c r="H127">
        <v>-1696683766.2654438</v>
      </c>
      <c r="I127">
        <v>-2834299330.2589483</v>
      </c>
      <c r="J127">
        <v>-129379949.78301811</v>
      </c>
      <c r="K127">
        <v>-1422410149.859545</v>
      </c>
      <c r="M127">
        <v>78107000</v>
      </c>
      <c r="N127">
        <v>90129000</v>
      </c>
      <c r="O127">
        <v>54285000</v>
      </c>
      <c r="P127">
        <v>59031000</v>
      </c>
      <c r="Q127">
        <v>-38080000</v>
      </c>
      <c r="R127">
        <v>51142000</v>
      </c>
      <c r="S127">
        <v>168451000</v>
      </c>
      <c r="T127">
        <v>-433000</v>
      </c>
      <c r="U127">
        <v>16789000</v>
      </c>
      <c r="V127">
        <v>3844000</v>
      </c>
      <c r="W127">
        <v>85742000</v>
      </c>
      <c r="X127">
        <v>4590000</v>
      </c>
      <c r="Y127">
        <v>1823000</v>
      </c>
      <c r="Z127">
        <v>1009000</v>
      </c>
      <c r="AA127">
        <v>6151000</v>
      </c>
      <c r="AB127">
        <v>-11128000</v>
      </c>
      <c r="AC127">
        <v>23070000</v>
      </c>
      <c r="AD127">
        <v>11513000</v>
      </c>
      <c r="AE127">
        <v>7230000</v>
      </c>
      <c r="AF127">
        <v>4260000</v>
      </c>
      <c r="AG127">
        <v>4246000</v>
      </c>
      <c r="AH127">
        <v>-20211000</v>
      </c>
      <c r="AI127">
        <v>32432000</v>
      </c>
      <c r="AJ127">
        <v>78825000</v>
      </c>
      <c r="AK127">
        <v>13774000</v>
      </c>
      <c r="AL127">
        <v>3264000</v>
      </c>
      <c r="AM127">
        <v>-6626000</v>
      </c>
    </row>
    <row r="128" spans="1:39" x14ac:dyDescent="0.25">
      <c r="A128" t="s">
        <v>264</v>
      </c>
      <c r="B128">
        <v>2237895022.6148939</v>
      </c>
      <c r="C128">
        <v>-5857483022.6148939</v>
      </c>
      <c r="D128">
        <v>14951666812.414028</v>
      </c>
      <c r="E128">
        <v>1871839903.8065681</v>
      </c>
      <c r="F128">
        <v>-1908567141.9505939</v>
      </c>
      <c r="G128">
        <v>-6623262858.0494061</v>
      </c>
      <c r="H128">
        <v>7920901557.4373236</v>
      </c>
      <c r="I128">
        <v>235227969.23275185</v>
      </c>
      <c r="J128">
        <v>-6038647196.6101418</v>
      </c>
      <c r="K128">
        <v>-6777635124.5916061</v>
      </c>
      <c r="M128">
        <v>-869041000</v>
      </c>
      <c r="N128">
        <v>66469000</v>
      </c>
      <c r="O128">
        <v>-337279000</v>
      </c>
      <c r="P128">
        <v>1181315000</v>
      </c>
      <c r="Q128">
        <v>-1199713000</v>
      </c>
      <c r="R128">
        <v>-637163000</v>
      </c>
      <c r="S128">
        <v>-931589000</v>
      </c>
      <c r="T128">
        <v>2137685000</v>
      </c>
      <c r="U128">
        <v>292602000</v>
      </c>
      <c r="V128">
        <v>-175427000</v>
      </c>
      <c r="W128">
        <v>-1689507000</v>
      </c>
      <c r="X128">
        <v>1754807000</v>
      </c>
      <c r="Y128">
        <v>148961000</v>
      </c>
      <c r="Z128">
        <v>-934791000</v>
      </c>
      <c r="AA128">
        <v>-542961000</v>
      </c>
      <c r="AB128">
        <v>43386000</v>
      </c>
      <c r="AC128">
        <v>-394651000</v>
      </c>
      <c r="AD128">
        <v>2958765000</v>
      </c>
      <c r="AE128">
        <v>-781864000</v>
      </c>
      <c r="AF128">
        <v>929904000</v>
      </c>
      <c r="AG128">
        <v>-348247000</v>
      </c>
      <c r="AH128">
        <v>-193988000</v>
      </c>
      <c r="AI128">
        <v>-293810000</v>
      </c>
      <c r="AJ128">
        <v>347827000</v>
      </c>
      <c r="AK128">
        <v>268046000</v>
      </c>
      <c r="AL128">
        <v>211704000</v>
      </c>
      <c r="AM128">
        <v>-339836000</v>
      </c>
    </row>
    <row r="129" spans="1:39" x14ac:dyDescent="0.25">
      <c r="A129" t="s">
        <v>265</v>
      </c>
      <c r="B129">
        <v>-30128.761394500732</v>
      </c>
      <c r="C129">
        <v>19411391128.761395</v>
      </c>
      <c r="D129">
        <v>2172.6256523132324</v>
      </c>
      <c r="E129">
        <v>-29060.055576324463</v>
      </c>
      <c r="F129">
        <v>14699.450704574585</v>
      </c>
      <c r="G129">
        <v>11119685300.549295</v>
      </c>
      <c r="H129">
        <v>-577.63793754577637</v>
      </c>
      <c r="I129">
        <v>14823.645128250122</v>
      </c>
      <c r="J129">
        <v>-14156.075113296509</v>
      </c>
      <c r="K129">
        <v>15779825817.169672</v>
      </c>
      <c r="M129">
        <v>1000</v>
      </c>
      <c r="N129">
        <v>-1000</v>
      </c>
      <c r="O129">
        <v>2491606000</v>
      </c>
      <c r="P129">
        <v>0</v>
      </c>
      <c r="Q129">
        <v>0</v>
      </c>
      <c r="R129">
        <v>0</v>
      </c>
      <c r="S129">
        <v>4078756000</v>
      </c>
      <c r="T129">
        <v>0</v>
      </c>
      <c r="U129">
        <v>0</v>
      </c>
      <c r="V129">
        <v>0</v>
      </c>
      <c r="W129">
        <v>3513403000</v>
      </c>
      <c r="X129">
        <v>0</v>
      </c>
      <c r="Y129">
        <v>0</v>
      </c>
      <c r="Z129">
        <v>-1000</v>
      </c>
      <c r="AA129">
        <v>3087388000</v>
      </c>
      <c r="AB129">
        <v>-1000</v>
      </c>
      <c r="AC129">
        <v>0</v>
      </c>
      <c r="AD129">
        <v>0</v>
      </c>
      <c r="AE129">
        <v>1261753000</v>
      </c>
      <c r="AF129">
        <v>0</v>
      </c>
      <c r="AG129">
        <v>0</v>
      </c>
      <c r="AH129">
        <v>0</v>
      </c>
      <c r="AI129">
        <v>1167894000</v>
      </c>
      <c r="AJ129">
        <v>0</v>
      </c>
      <c r="AK129">
        <v>0</v>
      </c>
      <c r="AL129">
        <v>0</v>
      </c>
      <c r="AM129">
        <v>680153000</v>
      </c>
    </row>
    <row r="130" spans="1:39" x14ac:dyDescent="0.25">
      <c r="A130" t="s">
        <v>266</v>
      </c>
      <c r="B130">
        <v>2237864893.8535004</v>
      </c>
      <c r="C130">
        <v>13553908106.1465</v>
      </c>
      <c r="D130">
        <v>14951668985.039682</v>
      </c>
      <c r="E130">
        <v>1871810843.7509899</v>
      </c>
      <c r="F130">
        <v>-1908552442.4998903</v>
      </c>
      <c r="G130">
        <v>4496422442.4998903</v>
      </c>
      <c r="H130">
        <v>7920900979.7993879</v>
      </c>
      <c r="I130">
        <v>235242792.8778758</v>
      </c>
      <c r="J130">
        <v>-6038661352.685257</v>
      </c>
      <c r="K130">
        <v>9002190692.5780697</v>
      </c>
      <c r="M130">
        <v>-869040000</v>
      </c>
      <c r="N130">
        <v>66468000</v>
      </c>
      <c r="O130">
        <v>2154327000</v>
      </c>
      <c r="P130">
        <v>1181315000</v>
      </c>
      <c r="Q130">
        <v>-1199713000</v>
      </c>
      <c r="R130">
        <v>-637163000</v>
      </c>
      <c r="S130">
        <v>3147167000</v>
      </c>
      <c r="T130">
        <v>2137685000</v>
      </c>
      <c r="U130">
        <v>292602000</v>
      </c>
      <c r="V130">
        <v>-175427000</v>
      </c>
      <c r="W130">
        <v>1823896000</v>
      </c>
      <c r="X130">
        <v>1754807000</v>
      </c>
      <c r="Y130">
        <v>148961000</v>
      </c>
      <c r="Z130">
        <v>-934792000</v>
      </c>
      <c r="AA130">
        <v>2544427000</v>
      </c>
      <c r="AB130">
        <v>43385000</v>
      </c>
      <c r="AC130">
        <v>-394651000</v>
      </c>
      <c r="AD130">
        <v>2958765000</v>
      </c>
      <c r="AE130">
        <v>479889000</v>
      </c>
      <c r="AF130">
        <v>929904000</v>
      </c>
      <c r="AG130">
        <v>-348247000</v>
      </c>
      <c r="AH130">
        <v>-193988000</v>
      </c>
      <c r="AI130">
        <v>874084000</v>
      </c>
      <c r="AJ130">
        <v>347827000</v>
      </c>
      <c r="AK130">
        <v>268046000</v>
      </c>
      <c r="AL130">
        <v>211704000</v>
      </c>
      <c r="AM130">
        <v>340317000</v>
      </c>
    </row>
  </sheetData>
  <pageMargins left="0.7" right="0.7" top="0.75" bottom="0.75" header="0.3" footer="0.3"/>
  <ignoredErrors>
    <ignoredError sqref="A1:AM13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30"/>
  <sheetViews>
    <sheetView topLeftCell="A10" workbookViewId="0">
      <selection activeCell="B37" sqref="B37"/>
    </sheetView>
  </sheetViews>
  <sheetFormatPr defaultRowHeight="15.75" x14ac:dyDescent="0.25"/>
  <cols>
    <col min="1" max="1" width="123.75" customWidth="1"/>
    <col min="2" max="39" width="20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121</v>
      </c>
    </row>
    <row r="2" spans="1:39" x14ac:dyDescent="0.25">
      <c r="A2" t="s">
        <v>122</v>
      </c>
      <c r="B2" s="1"/>
      <c r="C2" s="1">
        <f>SUM(C7:C27)</f>
        <v>23197886537.705505</v>
      </c>
    </row>
    <row r="3" spans="1:39" x14ac:dyDescent="0.25">
      <c r="A3" t="s">
        <v>164</v>
      </c>
      <c r="B3" s="1">
        <v>41188385050.604385</v>
      </c>
      <c r="C3" s="1">
        <v>33821344846.180233</v>
      </c>
      <c r="D3">
        <v>24988569050.604385</v>
      </c>
      <c r="E3">
        <v>10459427424.896086</v>
      </c>
      <c r="F3">
        <v>11506528944.932091</v>
      </c>
      <c r="G3">
        <v>4192973745.7711983</v>
      </c>
      <c r="H3">
        <v>14107659802.793764</v>
      </c>
      <c r="L3">
        <v>20289205681.867077</v>
      </c>
      <c r="M3">
        <v>3645244000</v>
      </c>
      <c r="N3">
        <v>3565613000</v>
      </c>
      <c r="O3">
        <v>2020021000</v>
      </c>
      <c r="P3">
        <v>2432551000</v>
      </c>
      <c r="Q3">
        <v>1730869000</v>
      </c>
      <c r="R3">
        <v>2189839000</v>
      </c>
      <c r="S3">
        <v>1800296000</v>
      </c>
      <c r="T3">
        <v>1718600000</v>
      </c>
      <c r="U3">
        <v>1896552000</v>
      </c>
      <c r="V3">
        <v>1095414000</v>
      </c>
      <c r="W3">
        <v>654502000</v>
      </c>
      <c r="X3">
        <v>976852000</v>
      </c>
      <c r="Y3">
        <v>-400818000</v>
      </c>
      <c r="Z3">
        <v>-528949000</v>
      </c>
      <c r="AA3">
        <v>483074000</v>
      </c>
      <c r="AB3">
        <v>272200000</v>
      </c>
      <c r="AC3">
        <v>149522000</v>
      </c>
      <c r="AD3">
        <v>318639000</v>
      </c>
      <c r="AE3">
        <v>203548000</v>
      </c>
      <c r="AF3">
        <v>662532000</v>
      </c>
      <c r="AG3">
        <v>76368000</v>
      </c>
      <c r="AH3">
        <v>676991000</v>
      </c>
      <c r="AI3">
        <v>1034342000</v>
      </c>
      <c r="AJ3">
        <v>980527000</v>
      </c>
    </row>
    <row r="4" spans="1:39" x14ac:dyDescent="0.25">
      <c r="A4" t="s">
        <v>161</v>
      </c>
      <c r="B4" s="1">
        <v>19247688579.251644</v>
      </c>
      <c r="C4" s="1">
        <v>18208820857.527874</v>
      </c>
      <c r="D4">
        <v>17760944579.251644</v>
      </c>
      <c r="E4">
        <v>14551391019.787249</v>
      </c>
      <c r="F4">
        <v>15229061984.390945</v>
      </c>
      <c r="G4">
        <v>15670937197.290073</v>
      </c>
      <c r="H4">
        <v>12422125199.534374</v>
      </c>
      <c r="L4">
        <v>2003419403.5269821</v>
      </c>
      <c r="M4">
        <v>9727083000</v>
      </c>
      <c r="N4">
        <v>8390108000</v>
      </c>
      <c r="O4">
        <v>7575455000</v>
      </c>
      <c r="P4">
        <v>7127341000</v>
      </c>
      <c r="Q4">
        <v>4598233000</v>
      </c>
      <c r="R4">
        <v>5147339000</v>
      </c>
      <c r="S4">
        <v>4769879000</v>
      </c>
      <c r="T4">
        <v>4461266000</v>
      </c>
      <c r="U4">
        <v>4372264000</v>
      </c>
      <c r="V4">
        <v>3865320000</v>
      </c>
      <c r="W4">
        <v>3643326000</v>
      </c>
      <c r="X4">
        <v>3352673000</v>
      </c>
      <c r="Y4">
        <v>2562747000</v>
      </c>
      <c r="Z4">
        <v>2712865000</v>
      </c>
      <c r="AA4">
        <v>2597566000</v>
      </c>
      <c r="AB4">
        <v>2319347000</v>
      </c>
      <c r="AC4">
        <v>2359188000</v>
      </c>
      <c r="AD4">
        <v>1773158000</v>
      </c>
      <c r="AE4">
        <v>1383624000</v>
      </c>
      <c r="AF4">
        <v>1375980000</v>
      </c>
      <c r="AG4">
        <v>1158392000</v>
      </c>
      <c r="AH4">
        <v>1103869000</v>
      </c>
      <c r="AI4">
        <v>1027119000</v>
      </c>
      <c r="AJ4">
        <v>795201000</v>
      </c>
    </row>
    <row r="5" spans="1:39" x14ac:dyDescent="0.25">
      <c r="A5" s="12" t="s">
        <v>165</v>
      </c>
      <c r="B5" s="13">
        <v>24118456285.809544</v>
      </c>
      <c r="C5" s="1">
        <v>27279231610.229362</v>
      </c>
      <c r="D5">
        <v>24689838285.809544</v>
      </c>
      <c r="E5">
        <v>15128403945.701107</v>
      </c>
      <c r="F5">
        <v>11663943737.040403</v>
      </c>
      <c r="G5">
        <v>19783520509.89455</v>
      </c>
      <c r="H5">
        <v>25359399637.462517</v>
      </c>
      <c r="L5">
        <v>28274669205.616924</v>
      </c>
      <c r="M5">
        <v>8129118000</v>
      </c>
      <c r="N5">
        <v>7683812000</v>
      </c>
      <c r="O5">
        <v>6318660000</v>
      </c>
      <c r="P5">
        <v>6098771000</v>
      </c>
      <c r="Q5">
        <v>3011331000</v>
      </c>
      <c r="R5">
        <v>3770937000</v>
      </c>
      <c r="S5">
        <v>3558869000</v>
      </c>
      <c r="T5">
        <v>3465308000</v>
      </c>
      <c r="U5">
        <v>3167417000</v>
      </c>
      <c r="V5">
        <v>2332801000</v>
      </c>
      <c r="W5">
        <v>2122969000</v>
      </c>
      <c r="X5">
        <v>1924377000</v>
      </c>
      <c r="Y5">
        <v>1920783000</v>
      </c>
      <c r="Z5">
        <v>2130144000</v>
      </c>
      <c r="AA5">
        <v>2168676000</v>
      </c>
      <c r="AB5">
        <v>1907656000</v>
      </c>
      <c r="AC5">
        <v>1281098000</v>
      </c>
      <c r="AD5">
        <v>934466000</v>
      </c>
      <c r="AE5">
        <v>678344000</v>
      </c>
      <c r="AF5">
        <v>357785000</v>
      </c>
      <c r="AG5">
        <v>436900000</v>
      </c>
      <c r="AH5">
        <v>399090000</v>
      </c>
      <c r="AI5">
        <v>481897000</v>
      </c>
      <c r="AJ5">
        <v>677591000</v>
      </c>
    </row>
    <row r="6" spans="1:39" x14ac:dyDescent="0.25">
      <c r="A6" s="10" t="s">
        <v>166</v>
      </c>
      <c r="B6" s="11">
        <v>4187340004.4625726</v>
      </c>
      <c r="C6" s="1">
        <v>4081345072.5238581</v>
      </c>
      <c r="D6">
        <v>3849696004.4625726</v>
      </c>
      <c r="E6">
        <v>4699440322.2060814</v>
      </c>
      <c r="F6">
        <v>5491115952.8467865</v>
      </c>
      <c r="G6">
        <v>5853840083.4441195</v>
      </c>
      <c r="H6">
        <v>5731026964.1131659</v>
      </c>
      <c r="L6">
        <v>4120060710.1668296</v>
      </c>
      <c r="M6">
        <v>541997000</v>
      </c>
      <c r="N6">
        <v>505463000</v>
      </c>
      <c r="O6">
        <v>466273000</v>
      </c>
      <c r="P6">
        <v>432191000</v>
      </c>
      <c r="Q6">
        <v>378138000</v>
      </c>
      <c r="R6">
        <v>344580000</v>
      </c>
      <c r="S6">
        <v>316359000</v>
      </c>
      <c r="T6">
        <v>285498000</v>
      </c>
      <c r="U6">
        <v>287099000</v>
      </c>
      <c r="V6">
        <v>271276000</v>
      </c>
      <c r="W6">
        <v>255982000</v>
      </c>
      <c r="X6">
        <v>241216000</v>
      </c>
      <c r="Y6">
        <v>213506000</v>
      </c>
      <c r="Z6">
        <v>195541000</v>
      </c>
      <c r="AA6">
        <v>182464000</v>
      </c>
      <c r="AB6">
        <v>171391000</v>
      </c>
      <c r="AC6">
        <v>161529000</v>
      </c>
      <c r="AD6">
        <v>152637000</v>
      </c>
      <c r="AE6">
        <v>142723000</v>
      </c>
      <c r="AF6">
        <v>132625000</v>
      </c>
      <c r="AG6">
        <v>123952000</v>
      </c>
      <c r="AH6">
        <v>117409000</v>
      </c>
      <c r="AI6">
        <v>113803000</v>
      </c>
      <c r="AJ6">
        <v>110160000</v>
      </c>
    </row>
    <row r="7" spans="1:39" x14ac:dyDescent="0.25">
      <c r="A7" s="10" t="s">
        <v>167</v>
      </c>
      <c r="B7" s="11">
        <v>79108458.687675774</v>
      </c>
      <c r="C7" s="1">
        <v>-79514355.83770591</v>
      </c>
      <c r="D7">
        <v>-155933541.31232423</v>
      </c>
      <c r="E7">
        <v>-108446497.38179827</v>
      </c>
      <c r="F7">
        <v>-133799701.63902062</v>
      </c>
      <c r="G7">
        <v>-31497799.385113869</v>
      </c>
      <c r="H7">
        <v>-68652107.418375522</v>
      </c>
      <c r="L7">
        <v>-99442497.827232718</v>
      </c>
      <c r="M7">
        <v>-12787000</v>
      </c>
      <c r="N7">
        <v>18834000</v>
      </c>
      <c r="O7">
        <v>36284000</v>
      </c>
      <c r="P7">
        <v>41086000</v>
      </c>
      <c r="Q7">
        <v>34455000</v>
      </c>
      <c r="R7">
        <v>5466000</v>
      </c>
      <c r="S7">
        <v>19763000</v>
      </c>
      <c r="T7">
        <v>-31191000</v>
      </c>
      <c r="U7">
        <v>25150000</v>
      </c>
      <c r="V7">
        <v>25387000</v>
      </c>
      <c r="W7">
        <v>27497000</v>
      </c>
      <c r="X7">
        <v>64450000</v>
      </c>
      <c r="Y7">
        <v>-47658000</v>
      </c>
      <c r="Z7">
        <v>-39949000</v>
      </c>
      <c r="AA7">
        <v>-39547000</v>
      </c>
      <c r="AB7">
        <v>-36780000</v>
      </c>
      <c r="AC7">
        <v>19367000</v>
      </c>
      <c r="AD7">
        <v>10548000</v>
      </c>
      <c r="AE7">
        <v>9174000</v>
      </c>
      <c r="AF7">
        <v>7118000</v>
      </c>
      <c r="AG7">
        <v>4693000</v>
      </c>
      <c r="AH7">
        <v>3888000</v>
      </c>
      <c r="AI7">
        <v>4270000</v>
      </c>
      <c r="AJ7">
        <v>4411000</v>
      </c>
    </row>
    <row r="8" spans="1:39" x14ac:dyDescent="0.25">
      <c r="A8" s="10" t="s">
        <v>168</v>
      </c>
      <c r="B8" s="11">
        <v>12617291705.831518</v>
      </c>
      <c r="C8" s="1">
        <v>16432650346.707548</v>
      </c>
      <c r="D8">
        <v>15176929705.831518</v>
      </c>
      <c r="E8">
        <v>7829056790.4103069</v>
      </c>
      <c r="F8">
        <v>7801228985.5136709</v>
      </c>
      <c r="G8">
        <v>5662489092.3511086</v>
      </c>
      <c r="H8">
        <v>7350256939.4349146</v>
      </c>
      <c r="L8">
        <v>12064573458.550699</v>
      </c>
      <c r="M8">
        <v>2690039000</v>
      </c>
      <c r="N8">
        <v>2347858000</v>
      </c>
      <c r="O8">
        <v>2033887000</v>
      </c>
      <c r="P8">
        <v>2038842000</v>
      </c>
      <c r="Q8">
        <v>1611715000</v>
      </c>
      <c r="R8">
        <v>1771263000</v>
      </c>
      <c r="S8">
        <v>1576422000</v>
      </c>
      <c r="T8">
        <v>1643549000</v>
      </c>
      <c r="U8">
        <v>1099940000</v>
      </c>
      <c r="V8">
        <v>917866000</v>
      </c>
      <c r="W8">
        <v>885143000</v>
      </c>
      <c r="X8">
        <v>729803000</v>
      </c>
      <c r="Y8">
        <v>704182000</v>
      </c>
      <c r="Z8">
        <v>660508000</v>
      </c>
      <c r="AA8">
        <v>776647000</v>
      </c>
      <c r="AB8">
        <v>747129000</v>
      </c>
      <c r="AC8">
        <v>398798000</v>
      </c>
      <c r="AD8">
        <v>400594000</v>
      </c>
      <c r="AE8">
        <v>256716000</v>
      </c>
      <c r="AF8">
        <v>214975000</v>
      </c>
      <c r="AG8">
        <v>300126000</v>
      </c>
      <c r="AH8">
        <v>246841000</v>
      </c>
      <c r="AI8">
        <v>250567000</v>
      </c>
      <c r="AJ8">
        <v>290486000</v>
      </c>
    </row>
    <row r="9" spans="1:39" x14ac:dyDescent="0.25">
      <c r="A9" s="10" t="s">
        <v>169</v>
      </c>
      <c r="B9" s="11"/>
      <c r="C9" s="1"/>
    </row>
    <row r="10" spans="1:39" x14ac:dyDescent="0.25">
      <c r="A10" s="10" t="s">
        <v>170</v>
      </c>
      <c r="B10" s="11"/>
      <c r="C10" s="1"/>
    </row>
    <row r="11" spans="1:39" x14ac:dyDescent="0.25">
      <c r="A11" s="10" t="s">
        <v>171</v>
      </c>
      <c r="B11" s="11"/>
      <c r="C11" s="1"/>
    </row>
    <row r="12" spans="1:39" x14ac:dyDescent="0.25">
      <c r="A12" s="10" t="s">
        <v>172</v>
      </c>
      <c r="B12" s="11">
        <v>-675329658.45672464</v>
      </c>
      <c r="C12" s="1">
        <v>-129714611.05750513</v>
      </c>
      <c r="D12">
        <v>-412136658.45672464</v>
      </c>
      <c r="E12">
        <v>434400354.08000296</v>
      </c>
      <c r="F12">
        <v>-6098954.5442903042</v>
      </c>
      <c r="G12">
        <v>433936038.04901934</v>
      </c>
      <c r="H12">
        <v>523685103.14577866</v>
      </c>
      <c r="L12">
        <v>135787784.92293128</v>
      </c>
      <c r="M12">
        <v>555318000</v>
      </c>
      <c r="N12">
        <v>398298000</v>
      </c>
      <c r="O12">
        <v>302422000</v>
      </c>
      <c r="P12">
        <v>346941000</v>
      </c>
      <c r="Q12">
        <v>-290367000</v>
      </c>
      <c r="R12">
        <v>-193752000</v>
      </c>
      <c r="S12">
        <v>-196629000</v>
      </c>
      <c r="T12">
        <v>-207223000</v>
      </c>
      <c r="U12">
        <v>-260225000</v>
      </c>
      <c r="V12">
        <v>-209971000</v>
      </c>
      <c r="W12">
        <v>-146849000</v>
      </c>
      <c r="X12">
        <v>-152226000</v>
      </c>
      <c r="Y12">
        <v>-133382000</v>
      </c>
      <c r="Z12">
        <v>-169986000</v>
      </c>
      <c r="AA12">
        <v>-150109000</v>
      </c>
      <c r="AB12">
        <v>-112645000</v>
      </c>
      <c r="AC12">
        <v>5383000</v>
      </c>
      <c r="AD12">
        <v>115280000</v>
      </c>
      <c r="AE12">
        <v>118998000</v>
      </c>
      <c r="AF12">
        <v>114307000</v>
      </c>
      <c r="AG12">
        <v>103539000</v>
      </c>
      <c r="AH12">
        <v>74666000</v>
      </c>
      <c r="AI12">
        <v>40353000</v>
      </c>
      <c r="AJ12">
        <v>-8474000</v>
      </c>
    </row>
    <row r="13" spans="1:39" x14ac:dyDescent="0.25">
      <c r="A13" s="10" t="s">
        <v>173</v>
      </c>
      <c r="B13" s="11"/>
      <c r="C13" s="1"/>
    </row>
    <row r="14" spans="1:39" x14ac:dyDescent="0.25">
      <c r="A14" s="10" t="s">
        <v>174</v>
      </c>
      <c r="B14" s="11"/>
      <c r="C14" s="1"/>
    </row>
    <row r="15" spans="1:39" x14ac:dyDescent="0.25">
      <c r="A15" s="10" t="s">
        <v>175</v>
      </c>
      <c r="B15" s="11"/>
      <c r="C15" s="1"/>
    </row>
    <row r="16" spans="1:39" x14ac:dyDescent="0.25">
      <c r="A16" s="10" t="s">
        <v>176</v>
      </c>
      <c r="B16" s="11"/>
      <c r="C16" s="1"/>
    </row>
    <row r="17" spans="1:36" x14ac:dyDescent="0.25">
      <c r="A17" s="10" t="s">
        <v>177</v>
      </c>
      <c r="B17" s="11"/>
      <c r="C17" s="1"/>
    </row>
    <row r="18" spans="1:36" x14ac:dyDescent="0.25">
      <c r="A18" s="10" t="s">
        <v>178</v>
      </c>
      <c r="B18" s="11"/>
      <c r="C18" s="1"/>
    </row>
    <row r="19" spans="1:36" x14ac:dyDescent="0.25">
      <c r="A19" s="10" t="s">
        <v>179</v>
      </c>
      <c r="B19" s="11">
        <v>247547879.22743106</v>
      </c>
      <c r="C19" s="1">
        <v>134747052.73801929</v>
      </c>
      <c r="D19">
        <v>67663879.227431044</v>
      </c>
      <c r="E19">
        <v>21703727.334620737</v>
      </c>
      <c r="F19">
        <v>19171137.484770976</v>
      </c>
      <c r="G19">
        <v>38401641.305810146</v>
      </c>
      <c r="H19">
        <v>2481654.5007543163</v>
      </c>
      <c r="L19">
        <v>-53727888.94685325</v>
      </c>
      <c r="M19">
        <v>553000</v>
      </c>
      <c r="N19">
        <v>1140000</v>
      </c>
      <c r="O19">
        <v>6194000</v>
      </c>
      <c r="P19">
        <v>2820000</v>
      </c>
      <c r="Q19">
        <v>-3773000</v>
      </c>
      <c r="R19">
        <v>-14726000</v>
      </c>
      <c r="S19">
        <v>-15831000</v>
      </c>
      <c r="T19">
        <v>-12408000</v>
      </c>
      <c r="U19">
        <v>16031000</v>
      </c>
      <c r="V19">
        <v>12033000</v>
      </c>
      <c r="W19">
        <v>4976000</v>
      </c>
      <c r="X19">
        <v>-2325000</v>
      </c>
      <c r="Y19">
        <v>-4609000</v>
      </c>
      <c r="Z19">
        <v>-1848000</v>
      </c>
      <c r="AA19">
        <v>7388000</v>
      </c>
      <c r="AB19">
        <v>8951000</v>
      </c>
      <c r="AC19">
        <v>452000</v>
      </c>
      <c r="AD19">
        <v>2368000</v>
      </c>
      <c r="AE19">
        <v>1519000</v>
      </c>
      <c r="AF19">
        <v>-9302000</v>
      </c>
      <c r="AG19">
        <v>-1035000</v>
      </c>
      <c r="AH19">
        <v>-6162000</v>
      </c>
      <c r="AI19">
        <v>-12075000</v>
      </c>
      <c r="AJ19">
        <v>-213000</v>
      </c>
    </row>
    <row r="20" spans="1:36" x14ac:dyDescent="0.25">
      <c r="A20" s="10" t="s">
        <v>180</v>
      </c>
      <c r="B20" s="11">
        <v>-10678614998.610569</v>
      </c>
      <c r="C20" s="1">
        <v>-10047812314.274817</v>
      </c>
      <c r="D20">
        <v>-8116848998.610568</v>
      </c>
      <c r="E20">
        <v>-9805502416.4940472</v>
      </c>
      <c r="F20">
        <v>-6539581766.2698679</v>
      </c>
      <c r="G20">
        <v>-5254692718.6644325</v>
      </c>
      <c r="H20">
        <v>-277328098.99238235</v>
      </c>
      <c r="L20">
        <v>-3540084194.0754447</v>
      </c>
      <c r="M20">
        <v>-285459000</v>
      </c>
      <c r="N20">
        <v>-64546000</v>
      </c>
      <c r="O20">
        <v>-336574000</v>
      </c>
      <c r="P20">
        <v>69082000</v>
      </c>
      <c r="Q20">
        <v>127182000</v>
      </c>
      <c r="R20">
        <v>366999000</v>
      </c>
      <c r="S20">
        <v>467740000</v>
      </c>
      <c r="T20">
        <v>423885000</v>
      </c>
      <c r="U20">
        <v>328452000</v>
      </c>
      <c r="V20">
        <v>111934000</v>
      </c>
      <c r="W20">
        <v>-14310000</v>
      </c>
      <c r="X20">
        <v>-44142000</v>
      </c>
      <c r="Y20">
        <v>-239095000</v>
      </c>
      <c r="Z20">
        <v>-66465000</v>
      </c>
      <c r="AA20">
        <v>-15236000</v>
      </c>
      <c r="AB20">
        <v>-77581000</v>
      </c>
      <c r="AC20">
        <v>-35825000</v>
      </c>
      <c r="AD20">
        <v>-120522000</v>
      </c>
      <c r="AE20">
        <v>-209625000</v>
      </c>
      <c r="AF20">
        <v>-211018000</v>
      </c>
      <c r="AG20">
        <v>-164150000</v>
      </c>
      <c r="AH20">
        <v>-162500000</v>
      </c>
      <c r="AI20">
        <v>-98607000</v>
      </c>
      <c r="AJ20">
        <v>-61178000</v>
      </c>
    </row>
    <row r="21" spans="1:36" x14ac:dyDescent="0.25">
      <c r="A21" s="10" t="s">
        <v>181</v>
      </c>
      <c r="B21" s="11"/>
      <c r="C21" s="1"/>
    </row>
    <row r="22" spans="1:36" x14ac:dyDescent="0.25">
      <c r="A22" s="10" t="s">
        <v>182</v>
      </c>
      <c r="B22" s="11">
        <v>0</v>
      </c>
      <c r="C22" s="1">
        <v>0</v>
      </c>
      <c r="D22">
        <v>0</v>
      </c>
      <c r="E22">
        <v>0</v>
      </c>
      <c r="F22">
        <v>0</v>
      </c>
      <c r="G22">
        <v>0</v>
      </c>
      <c r="H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-73074000</v>
      </c>
      <c r="Z22">
        <v>-58589000</v>
      </c>
      <c r="AA22">
        <v>-4984000</v>
      </c>
      <c r="AB22">
        <v>0</v>
      </c>
      <c r="AC22">
        <v>128131000</v>
      </c>
      <c r="AD22">
        <v>134693000</v>
      </c>
      <c r="AE22">
        <v>110256000</v>
      </c>
      <c r="AF22">
        <v>111313000</v>
      </c>
      <c r="AG22">
        <v>67593000</v>
      </c>
      <c r="AH22">
        <v>49792000</v>
      </c>
      <c r="AI22">
        <v>32601000</v>
      </c>
      <c r="AJ22">
        <v>27238000</v>
      </c>
    </row>
    <row r="23" spans="1:36" x14ac:dyDescent="0.25">
      <c r="A23" s="10" t="s">
        <v>183</v>
      </c>
      <c r="B23" s="11"/>
      <c r="C23" s="1"/>
    </row>
    <row r="24" spans="1:36" x14ac:dyDescent="0.25">
      <c r="A24" s="10" t="s">
        <v>184</v>
      </c>
      <c r="B24" s="11"/>
      <c r="C24" s="1"/>
    </row>
    <row r="25" spans="1:36" x14ac:dyDescent="0.25">
      <c r="A25" s="10" t="s">
        <v>185</v>
      </c>
      <c r="B25" s="11"/>
      <c r="C25" s="1"/>
    </row>
    <row r="26" spans="1:36" x14ac:dyDescent="0.25">
      <c r="A26" s="10" t="s">
        <v>186</v>
      </c>
      <c r="B26" s="11">
        <v>15944574262.658546</v>
      </c>
      <c r="C26" s="1">
        <v>12900315399.258326</v>
      </c>
      <c r="D26">
        <v>11488842262.658546</v>
      </c>
      <c r="E26">
        <v>7961995086.4263544</v>
      </c>
      <c r="F26">
        <v>2612608473.6092653</v>
      </c>
      <c r="G26">
        <v>8784087616.276577</v>
      </c>
      <c r="H26">
        <v>7948264503.0191278</v>
      </c>
      <c r="L26">
        <v>6229482147.4846449</v>
      </c>
      <c r="M26">
        <v>2944026000</v>
      </c>
      <c r="N26">
        <v>2696620000</v>
      </c>
      <c r="O26">
        <v>2426440000</v>
      </c>
      <c r="P26">
        <v>2156388000</v>
      </c>
      <c r="Q26">
        <v>421051000</v>
      </c>
      <c r="R26">
        <v>881790000</v>
      </c>
      <c r="S26">
        <v>763506000</v>
      </c>
      <c r="T26">
        <v>658136000</v>
      </c>
      <c r="U26">
        <v>858563000</v>
      </c>
      <c r="V26">
        <v>396940000</v>
      </c>
      <c r="W26">
        <v>299359000</v>
      </c>
      <c r="X26">
        <v>137302000</v>
      </c>
      <c r="Y26">
        <v>-103219000</v>
      </c>
      <c r="Z26">
        <v>173218000</v>
      </c>
      <c r="AA26">
        <v>148819000</v>
      </c>
      <c r="AB26">
        <v>108318000</v>
      </c>
      <c r="AC26">
        <v>218916000</v>
      </c>
      <c r="AD26">
        <v>1079000</v>
      </c>
      <c r="AE26">
        <v>4955000</v>
      </c>
      <c r="AF26">
        <v>-19559000</v>
      </c>
      <c r="AG26">
        <v>44135000</v>
      </c>
      <c r="AH26">
        <v>52972000</v>
      </c>
      <c r="AI26">
        <v>72271000</v>
      </c>
      <c r="AJ26">
        <v>65439000</v>
      </c>
    </row>
    <row r="27" spans="1:36" x14ac:dyDescent="0.25">
      <c r="A27" s="10" t="s">
        <v>187</v>
      </c>
      <c r="B27" s="11">
        <v>2396538632.009089</v>
      </c>
      <c r="C27" s="1">
        <v>3987215020.1716375</v>
      </c>
      <c r="D27">
        <v>2791625632.009089</v>
      </c>
      <c r="E27">
        <v>4095756579.1195836</v>
      </c>
      <c r="F27">
        <v>2419299610.0390882</v>
      </c>
      <c r="G27">
        <v>4296956556.5174618</v>
      </c>
      <c r="H27">
        <v>4149664679.6595335</v>
      </c>
      <c r="L27">
        <v>9418019685.3413506</v>
      </c>
      <c r="M27">
        <v>1695431000</v>
      </c>
      <c r="N27">
        <v>1780145000</v>
      </c>
      <c r="O27">
        <v>1383734000</v>
      </c>
      <c r="P27">
        <v>1011421000</v>
      </c>
      <c r="Q27">
        <v>732930000</v>
      </c>
      <c r="R27">
        <v>609317000</v>
      </c>
      <c r="S27">
        <v>627539000</v>
      </c>
      <c r="T27">
        <v>705062000</v>
      </c>
      <c r="U27">
        <v>812407000</v>
      </c>
      <c r="V27">
        <v>807336000</v>
      </c>
      <c r="W27">
        <v>811171000</v>
      </c>
      <c r="X27">
        <v>950299000</v>
      </c>
      <c r="Y27">
        <v>1604132000</v>
      </c>
      <c r="Z27">
        <v>1437714000</v>
      </c>
      <c r="AA27">
        <v>1263234000</v>
      </c>
      <c r="AB27">
        <v>1098873000</v>
      </c>
      <c r="AC27">
        <v>-17935000</v>
      </c>
      <c r="AD27">
        <v>-17165000</v>
      </c>
      <c r="AE27">
        <v>9476000</v>
      </c>
      <c r="AF27">
        <v>-18435000</v>
      </c>
      <c r="AG27">
        <v>-96135000</v>
      </c>
      <c r="AH27">
        <v>-104999000</v>
      </c>
      <c r="AI27">
        <v>-125197000</v>
      </c>
      <c r="AJ27">
        <v>-89192000</v>
      </c>
    </row>
    <row r="28" spans="1:36" x14ac:dyDescent="0.25">
      <c r="A28" s="12" t="s">
        <v>188</v>
      </c>
      <c r="B28" s="13">
        <v>3102688669.7956829</v>
      </c>
      <c r="C28" s="1">
        <v>-6085181572.0401783</v>
      </c>
      <c r="D28">
        <v>-12512567330.204317</v>
      </c>
      <c r="E28">
        <v>-14450520092.755947</v>
      </c>
      <c r="F28">
        <v>-11227197002.734392</v>
      </c>
      <c r="G28">
        <v>-26069691908.612423</v>
      </c>
      <c r="H28">
        <v>-18709868823.244118</v>
      </c>
      <c r="L28">
        <v>-6495717776.6513567</v>
      </c>
      <c r="M28">
        <v>-13404235000</v>
      </c>
      <c r="N28">
        <v>-11784667000</v>
      </c>
      <c r="O28">
        <v>-11226267000</v>
      </c>
      <c r="P28">
        <v>-10227847000</v>
      </c>
      <c r="Q28">
        <v>-5429687000</v>
      </c>
      <c r="R28">
        <v>-6338494000</v>
      </c>
      <c r="S28">
        <v>-6208756000</v>
      </c>
      <c r="T28">
        <v>-5878957000</v>
      </c>
      <c r="U28">
        <v>-5350480000</v>
      </c>
      <c r="V28">
        <v>-4819765000</v>
      </c>
      <c r="W28">
        <v>-4845952000</v>
      </c>
      <c r="X28">
        <v>-4060678000</v>
      </c>
      <c r="Y28">
        <v>-4588517000</v>
      </c>
      <c r="Z28">
        <v>-5084946000</v>
      </c>
      <c r="AA28">
        <v>-4008969000</v>
      </c>
      <c r="AB28">
        <v>-3715776000</v>
      </c>
      <c r="AC28">
        <v>-3340103000</v>
      </c>
      <c r="AD28">
        <v>-2259982000</v>
      </c>
      <c r="AE28">
        <v>-1734995000</v>
      </c>
      <c r="AF28">
        <v>-956305000</v>
      </c>
      <c r="AG28">
        <v>-1397346000</v>
      </c>
      <c r="AH28">
        <v>-693077000</v>
      </c>
      <c r="AI28">
        <v>-344692000</v>
      </c>
      <c r="AJ28">
        <v>-363676000</v>
      </c>
    </row>
    <row r="29" spans="1:36" x14ac:dyDescent="0.25">
      <c r="A29" s="10" t="s">
        <v>189</v>
      </c>
      <c r="B29" s="11"/>
      <c r="C29" s="1">
        <f>SUM(B29:B48)</f>
        <v>3102688669.795681</v>
      </c>
    </row>
    <row r="30" spans="1:36" x14ac:dyDescent="0.25">
      <c r="A30" s="10" t="s">
        <v>190</v>
      </c>
      <c r="B30" s="11"/>
      <c r="C30" s="1"/>
    </row>
    <row r="31" spans="1:36" x14ac:dyDescent="0.25">
      <c r="A31" s="10" t="s">
        <v>191</v>
      </c>
      <c r="B31" s="11">
        <v>14684214840.915609</v>
      </c>
      <c r="C31" s="1">
        <v>4936971717.0819759</v>
      </c>
      <c r="D31">
        <v>2586169840.9156098</v>
      </c>
      <c r="E31">
        <v>-26343349130.970039</v>
      </c>
      <c r="F31">
        <v>-22209710636.834175</v>
      </c>
      <c r="G31">
        <v>-32768659026.034592</v>
      </c>
      <c r="H31">
        <v>-31719062238.643349</v>
      </c>
      <c r="L31">
        <v>-34892878820.257294</v>
      </c>
      <c r="M31">
        <v>-10449337000</v>
      </c>
      <c r="N31">
        <v>-9866619000</v>
      </c>
      <c r="O31">
        <v>-7655722000</v>
      </c>
      <c r="P31">
        <v>-6489832000</v>
      </c>
      <c r="Q31">
        <v>-1230294000</v>
      </c>
      <c r="R31">
        <v>-2972564000</v>
      </c>
      <c r="S31">
        <v>-2926043000</v>
      </c>
      <c r="T31">
        <v>-3468468000</v>
      </c>
      <c r="U31">
        <v>-2401890000</v>
      </c>
      <c r="V31">
        <v>-1431608000</v>
      </c>
      <c r="W31">
        <v>-2168101000</v>
      </c>
      <c r="X31">
        <v>-3374680000</v>
      </c>
      <c r="Y31">
        <v>-1924243000</v>
      </c>
      <c r="Z31">
        <v>-2407708000</v>
      </c>
      <c r="AA31">
        <v>-1697272000</v>
      </c>
      <c r="AB31">
        <v>-1268990000</v>
      </c>
      <c r="AC31">
        <v>-1324238000</v>
      </c>
      <c r="AD31">
        <v>-894595000</v>
      </c>
      <c r="AE31">
        <v>-405087000</v>
      </c>
      <c r="AF31">
        <v>385312000</v>
      </c>
      <c r="AG31">
        <v>-328767000</v>
      </c>
      <c r="AH31">
        <v>-277097000</v>
      </c>
      <c r="AI31">
        <v>-907899000</v>
      </c>
      <c r="AJ31">
        <v>-1135344000</v>
      </c>
    </row>
    <row r="32" spans="1:36" x14ac:dyDescent="0.25">
      <c r="A32" s="10" t="s">
        <v>192</v>
      </c>
      <c r="B32" s="11"/>
      <c r="C32" s="1"/>
    </row>
    <row r="33" spans="1:36" x14ac:dyDescent="0.25">
      <c r="A33" s="10" t="s">
        <v>193</v>
      </c>
      <c r="B33" s="11">
        <v>-488112877.21219575</v>
      </c>
      <c r="C33" s="1">
        <v>-334549566.68554151</v>
      </c>
      <c r="D33">
        <v>-121172877.21219572</v>
      </c>
      <c r="E33">
        <v>-1325970265.6750088</v>
      </c>
      <c r="F33">
        <v>-1202344561.6064868</v>
      </c>
      <c r="G33">
        <v>-1296767312.5126877</v>
      </c>
      <c r="H33">
        <v>-1053090729.1017116</v>
      </c>
      <c r="L33">
        <v>-854939663.44695532</v>
      </c>
      <c r="M33">
        <v>-107347000</v>
      </c>
      <c r="N33">
        <v>53806000</v>
      </c>
      <c r="O33">
        <v>-49623000</v>
      </c>
      <c r="P33">
        <v>-50986000</v>
      </c>
      <c r="Q33">
        <v>-20261000</v>
      </c>
      <c r="R33">
        <v>-105523000</v>
      </c>
      <c r="S33">
        <v>-240046000</v>
      </c>
      <c r="T33">
        <v>-292008000</v>
      </c>
      <c r="U33">
        <v>-157380000</v>
      </c>
      <c r="V33">
        <v>-173359000</v>
      </c>
      <c r="W33">
        <v>-142218000</v>
      </c>
      <c r="X33">
        <v>-176737000</v>
      </c>
      <c r="Y33">
        <v>-206128000</v>
      </c>
      <c r="Z33">
        <v>-148120000</v>
      </c>
      <c r="AA33">
        <v>-146486000</v>
      </c>
      <c r="AB33">
        <v>-91459000</v>
      </c>
      <c r="AC33">
        <v>-13118000</v>
      </c>
      <c r="AD33">
        <v>-12627000</v>
      </c>
      <c r="AE33">
        <v>-2751000</v>
      </c>
      <c r="AF33">
        <v>-28415000</v>
      </c>
      <c r="AG33">
        <v>-43161000</v>
      </c>
      <c r="AH33">
        <v>-34041000</v>
      </c>
      <c r="AI33">
        <v>-39448000</v>
      </c>
      <c r="AJ33">
        <v>-36477000</v>
      </c>
    </row>
    <row r="34" spans="1:36" x14ac:dyDescent="0.25">
      <c r="A34" s="10" t="s">
        <v>194</v>
      </c>
      <c r="B34" s="11"/>
      <c r="C34" s="1"/>
    </row>
    <row r="35" spans="1:36" x14ac:dyDescent="0.25">
      <c r="A35" s="10" t="s">
        <v>195</v>
      </c>
      <c r="B35" s="11"/>
      <c r="C35" s="1"/>
    </row>
    <row r="36" spans="1:36" x14ac:dyDescent="0.25">
      <c r="A36" s="10" t="s">
        <v>196</v>
      </c>
      <c r="B36" s="11"/>
      <c r="C36" s="1"/>
    </row>
    <row r="37" spans="1:36" x14ac:dyDescent="0.25">
      <c r="A37" s="10" t="s">
        <v>197</v>
      </c>
      <c r="B37" s="11">
        <v>-1586800437.6226931</v>
      </c>
      <c r="C37" s="1">
        <v>4345632795.1733027</v>
      </c>
      <c r="D37">
        <v>4019281562.3773069</v>
      </c>
      <c r="E37">
        <v>3201481882.5977764</v>
      </c>
      <c r="F37">
        <v>691609586.0726037</v>
      </c>
      <c r="G37">
        <v>-7183297878.415947</v>
      </c>
      <c r="H37">
        <v>-6986514293.8518562</v>
      </c>
      <c r="L37">
        <v>-2157566814.1477265</v>
      </c>
      <c r="M37">
        <v>-4043200000</v>
      </c>
      <c r="N37">
        <v>-3244503000</v>
      </c>
      <c r="O37">
        <v>-2940535000</v>
      </c>
      <c r="P37">
        <v>-2094115000</v>
      </c>
      <c r="Q37">
        <v>-1284217000</v>
      </c>
      <c r="R37">
        <v>-1241564000</v>
      </c>
      <c r="S37">
        <v>-804066000</v>
      </c>
      <c r="T37">
        <v>-1012940000</v>
      </c>
      <c r="U37">
        <v>-1041065000</v>
      </c>
      <c r="V37">
        <v>-797220000</v>
      </c>
      <c r="W37">
        <v>-945060000</v>
      </c>
      <c r="X37">
        <v>-877880000</v>
      </c>
      <c r="Y37">
        <v>-1433017000</v>
      </c>
      <c r="Z37">
        <v>-1581384000</v>
      </c>
      <c r="AA37">
        <v>-1499683000</v>
      </c>
      <c r="AB37">
        <v>-1316341000</v>
      </c>
      <c r="AC37">
        <v>-1418444000</v>
      </c>
      <c r="AD37">
        <v>-1150113000</v>
      </c>
      <c r="AE37">
        <v>-806865000</v>
      </c>
      <c r="AF37">
        <v>-612500000</v>
      </c>
      <c r="AG37">
        <v>-329228000</v>
      </c>
      <c r="AH37">
        <v>-224874000</v>
      </c>
      <c r="AI37">
        <v>-181578000</v>
      </c>
      <c r="AJ37">
        <v>-149986000</v>
      </c>
    </row>
    <row r="38" spans="1:36" x14ac:dyDescent="0.25">
      <c r="A38" s="10" t="s">
        <v>198</v>
      </c>
      <c r="B38" s="11"/>
      <c r="C38" s="1"/>
    </row>
    <row r="39" spans="1:36" x14ac:dyDescent="0.25">
      <c r="A39" s="10" t="s">
        <v>199</v>
      </c>
      <c r="B39" s="11">
        <v>-1297394407.8225403</v>
      </c>
      <c r="C39" s="1">
        <v>-1840436017.3450279</v>
      </c>
      <c r="D39">
        <v>941131592.17745996</v>
      </c>
      <c r="E39">
        <v>50987672.079910278</v>
      </c>
      <c r="F39">
        <v>1306392265.1173487</v>
      </c>
      <c r="G39">
        <v>-986609490.80428433</v>
      </c>
      <c r="H39">
        <v>-2028714635.339256</v>
      </c>
      <c r="L39">
        <v>-640952911.26612091</v>
      </c>
      <c r="M39">
        <v>-1295188000</v>
      </c>
      <c r="N39">
        <v>-965225000</v>
      </c>
      <c r="O39">
        <v>-457470000</v>
      </c>
      <c r="P39">
        <v>-611899000</v>
      </c>
      <c r="Q39">
        <v>-367445000</v>
      </c>
      <c r="R39">
        <v>-355871000</v>
      </c>
      <c r="S39">
        <v>-364845000</v>
      </c>
      <c r="T39">
        <v>-204986000</v>
      </c>
      <c r="U39">
        <v>-108461000</v>
      </c>
      <c r="V39">
        <v>4955000</v>
      </c>
      <c r="W39">
        <v>-21844000</v>
      </c>
      <c r="X39">
        <v>-49364000</v>
      </c>
      <c r="Y39">
        <v>-134381000</v>
      </c>
      <c r="Z39">
        <v>-422483000</v>
      </c>
      <c r="AA39">
        <v>-432576000</v>
      </c>
      <c r="AB39">
        <v>-690885000</v>
      </c>
      <c r="AC39">
        <v>-688760000</v>
      </c>
      <c r="AD39">
        <v>-526632000</v>
      </c>
      <c r="AE39">
        <v>-591150000</v>
      </c>
      <c r="AF39">
        <v>-503556000</v>
      </c>
      <c r="AG39">
        <v>-589335000</v>
      </c>
      <c r="AH39">
        <v>-513086000</v>
      </c>
      <c r="AI39">
        <v>-465709000</v>
      </c>
      <c r="AJ39">
        <v>-276581000</v>
      </c>
    </row>
    <row r="40" spans="1:36" x14ac:dyDescent="0.25">
      <c r="A40" s="10" t="s">
        <v>200</v>
      </c>
      <c r="B40" s="11">
        <v>-2672029477.0073195</v>
      </c>
      <c r="C40" s="1">
        <v>-5114076415.4441776</v>
      </c>
      <c r="D40">
        <v>-931250477.00731969</v>
      </c>
      <c r="E40">
        <v>3823019916.2716122</v>
      </c>
      <c r="F40">
        <v>5382005228.2614613</v>
      </c>
      <c r="G40">
        <v>9887773312.9064083</v>
      </c>
      <c r="H40">
        <v>9960103421.0575333</v>
      </c>
      <c r="L40">
        <v>11941202299.099699</v>
      </c>
      <c r="M40">
        <v>2725626000</v>
      </c>
      <c r="N40">
        <v>2401153000</v>
      </c>
      <c r="O40">
        <v>2113593000</v>
      </c>
      <c r="P40">
        <v>1961552000</v>
      </c>
      <c r="Q40">
        <v>527863000</v>
      </c>
      <c r="R40">
        <v>1639183000</v>
      </c>
      <c r="S40">
        <v>758877000</v>
      </c>
      <c r="T40">
        <v>1183552000</v>
      </c>
      <c r="U40">
        <v>475403000</v>
      </c>
      <c r="V40">
        <v>-366446000</v>
      </c>
      <c r="W40">
        <v>338352000</v>
      </c>
      <c r="X40">
        <v>1302132000</v>
      </c>
      <c r="Y40">
        <v>1594377000</v>
      </c>
      <c r="Z40">
        <v>946783000</v>
      </c>
      <c r="AA40">
        <v>1350011000</v>
      </c>
      <c r="AB40">
        <v>770883000</v>
      </c>
      <c r="AC40">
        <v>33482000</v>
      </c>
      <c r="AD40">
        <v>612525000</v>
      </c>
      <c r="AE40">
        <v>529148000</v>
      </c>
      <c r="AF40">
        <v>561079000</v>
      </c>
      <c r="AG40">
        <v>537311000</v>
      </c>
      <c r="AH40">
        <v>309826000</v>
      </c>
      <c r="AI40">
        <v>331658000</v>
      </c>
      <c r="AJ40">
        <v>324047000</v>
      </c>
    </row>
    <row r="41" spans="1:36" x14ac:dyDescent="0.25">
      <c r="A41" s="10" t="s">
        <v>201</v>
      </c>
      <c r="B41" s="11"/>
      <c r="C41" s="1"/>
    </row>
    <row r="42" spans="1:36" x14ac:dyDescent="0.25">
      <c r="A42" s="10" t="s">
        <v>202</v>
      </c>
      <c r="B42" s="11">
        <v>1539234175.3515487</v>
      </c>
      <c r="C42" s="1">
        <v>311252493.22584337</v>
      </c>
      <c r="D42">
        <v>2101638175.3515487</v>
      </c>
      <c r="E42">
        <v>1409452303.4610791</v>
      </c>
      <c r="F42">
        <v>1405137755.8127408</v>
      </c>
      <c r="G42">
        <v>2081076409.0642273</v>
      </c>
      <c r="H42">
        <v>955837174.37186873</v>
      </c>
      <c r="L42">
        <v>917944225.3654443</v>
      </c>
      <c r="M42">
        <v>298786000</v>
      </c>
      <c r="N42">
        <v>150335000</v>
      </c>
      <c r="O42">
        <v>121274000</v>
      </c>
      <c r="P42">
        <v>101019000</v>
      </c>
      <c r="Q42">
        <v>82197000</v>
      </c>
      <c r="R42">
        <v>65425000</v>
      </c>
      <c r="S42">
        <v>66254000</v>
      </c>
      <c r="T42">
        <v>59567000</v>
      </c>
      <c r="U42">
        <v>43951000</v>
      </c>
      <c r="V42">
        <v>110419000</v>
      </c>
      <c r="W42">
        <v>82792000</v>
      </c>
      <c r="X42">
        <v>111066000</v>
      </c>
      <c r="Y42">
        <v>92277000</v>
      </c>
      <c r="Z42">
        <v>4085000</v>
      </c>
      <c r="AA42">
        <v>3935000</v>
      </c>
      <c r="AB42">
        <v>-11260000</v>
      </c>
      <c r="AC42">
        <v>831000</v>
      </c>
      <c r="AD42">
        <v>27921000</v>
      </c>
      <c r="AE42">
        <v>23663000</v>
      </c>
      <c r="AF42">
        <v>9297000</v>
      </c>
      <c r="AG42">
        <v>22010000</v>
      </c>
      <c r="AH42">
        <v>4264000</v>
      </c>
      <c r="AI42">
        <v>1080000</v>
      </c>
      <c r="AJ42">
        <v>15248000</v>
      </c>
    </row>
    <row r="43" spans="1:36" x14ac:dyDescent="0.25">
      <c r="A43" s="10" t="s">
        <v>203</v>
      </c>
      <c r="B43" s="11">
        <v>-6112777160.1460209</v>
      </c>
      <c r="C43" s="1">
        <v>-12584768827.799818</v>
      </c>
      <c r="D43">
        <v>-16439772160.146021</v>
      </c>
      <c r="E43">
        <v>-552602032.53730011</v>
      </c>
      <c r="F43">
        <v>-6375923275.6751671</v>
      </c>
      <c r="G43">
        <v>-3811819890.9359317</v>
      </c>
      <c r="H43">
        <v>-2902759884.2450318</v>
      </c>
      <c r="L43">
        <v>3494834513.7841644</v>
      </c>
      <c r="M43">
        <v>-2965375000</v>
      </c>
      <c r="N43">
        <v>-1550246000</v>
      </c>
      <c r="O43">
        <v>-1476262000</v>
      </c>
      <c r="P43">
        <v>-1479884000</v>
      </c>
      <c r="Q43">
        <v>-2089783000</v>
      </c>
      <c r="R43">
        <v>-1722038000</v>
      </c>
      <c r="S43">
        <v>-771925000</v>
      </c>
      <c r="T43">
        <v>-1062025000</v>
      </c>
      <c r="U43">
        <v>-155929000</v>
      </c>
      <c r="V43">
        <v>-1305420000</v>
      </c>
      <c r="W43">
        <v>-1616791000</v>
      </c>
      <c r="X43">
        <v>83418000</v>
      </c>
      <c r="Y43">
        <v>-907697000</v>
      </c>
      <c r="Z43">
        <v>-209085000</v>
      </c>
      <c r="AA43">
        <v>-667177000</v>
      </c>
      <c r="AB43">
        <v>-731312000</v>
      </c>
    </row>
    <row r="44" spans="1:36" x14ac:dyDescent="0.25">
      <c r="A44" s="10" t="s">
        <v>204</v>
      </c>
      <c r="B44" s="11">
        <v>-435897522.10240078</v>
      </c>
      <c r="C44" s="1">
        <v>-306857842.02090323</v>
      </c>
      <c r="D44">
        <v>-372467522.10240078</v>
      </c>
      <c r="E44">
        <v>-486817573.13716465</v>
      </c>
      <c r="F44">
        <v>-502987595.89904499</v>
      </c>
      <c r="G44">
        <v>-350803493.6367805</v>
      </c>
      <c r="H44">
        <v>-753657587.24553466</v>
      </c>
      <c r="L44">
        <v>-1314674865.4443955</v>
      </c>
      <c r="M44">
        <v>-274730000</v>
      </c>
      <c r="N44">
        <v>-258252000</v>
      </c>
      <c r="O44">
        <v>-235968000</v>
      </c>
      <c r="P44">
        <v>-78433000</v>
      </c>
      <c r="Q44">
        <v>-72648000</v>
      </c>
      <c r="R44">
        <v>-27498000</v>
      </c>
      <c r="S44">
        <v>-79242000</v>
      </c>
      <c r="T44">
        <v>-8816000</v>
      </c>
      <c r="U44">
        <v>27101000</v>
      </c>
      <c r="V44">
        <v>2946000</v>
      </c>
      <c r="W44">
        <v>31188000</v>
      </c>
      <c r="X44">
        <v>60591000</v>
      </c>
      <c r="Y44">
        <v>15000000</v>
      </c>
      <c r="Z44">
        <v>6964000</v>
      </c>
      <c r="AA44">
        <v>6812000</v>
      </c>
      <c r="AB44">
        <v>1239000</v>
      </c>
      <c r="AC44">
        <v>-2449000</v>
      </c>
      <c r="AD44">
        <v>-6138000</v>
      </c>
      <c r="AE44">
        <v>-4473000</v>
      </c>
      <c r="AF44">
        <v>-4692000</v>
      </c>
      <c r="AG44">
        <v>-1644000</v>
      </c>
      <c r="AH44">
        <v>212000</v>
      </c>
      <c r="AI44">
        <v>478000</v>
      </c>
      <c r="AJ44">
        <v>3383000</v>
      </c>
    </row>
    <row r="45" spans="1:36" x14ac:dyDescent="0.25">
      <c r="A45" s="10" t="s">
        <v>205</v>
      </c>
      <c r="B45" s="11"/>
      <c r="C45" s="1"/>
    </row>
    <row r="46" spans="1:36" x14ac:dyDescent="0.25">
      <c r="A46" s="10" t="s">
        <v>206</v>
      </c>
      <c r="B46" s="11">
        <v>-31074397.515412267</v>
      </c>
      <c r="C46" s="1">
        <v>-27132564.324789904</v>
      </c>
      <c r="D46">
        <v>-19770397.515412267</v>
      </c>
      <c r="E46">
        <v>-25651911.320846103</v>
      </c>
      <c r="F46">
        <v>-46341985.67489858</v>
      </c>
      <c r="G46">
        <v>-65720637.947323777</v>
      </c>
      <c r="H46">
        <v>-97079710.573466688</v>
      </c>
      <c r="L46">
        <v>68742050.23179768</v>
      </c>
      <c r="M46">
        <v>3505000</v>
      </c>
      <c r="N46">
        <v>2431000</v>
      </c>
      <c r="O46">
        <v>1916000</v>
      </c>
      <c r="P46">
        <v>-2222000</v>
      </c>
      <c r="Q46">
        <v>-16081000</v>
      </c>
      <c r="R46">
        <v>-10902000</v>
      </c>
      <c r="S46">
        <v>-13137000</v>
      </c>
      <c r="T46">
        <v>-13681000</v>
      </c>
      <c r="U46">
        <v>-8860000</v>
      </c>
      <c r="V46">
        <v>-9201000</v>
      </c>
      <c r="W46">
        <v>-10781000</v>
      </c>
      <c r="X46">
        <v>-10624000</v>
      </c>
      <c r="Y46">
        <v>-1207000</v>
      </c>
      <c r="Z46">
        <v>5063000</v>
      </c>
      <c r="AA46">
        <v>11198000</v>
      </c>
      <c r="AB46">
        <v>12175000</v>
      </c>
      <c r="AC46">
        <v>10876000</v>
      </c>
      <c r="AD46">
        <v>9427000</v>
      </c>
      <c r="AE46">
        <v>12177000</v>
      </c>
      <c r="AF46">
        <v>13375000</v>
      </c>
      <c r="AG46">
        <v>9437000</v>
      </c>
      <c r="AH46">
        <v>10224000</v>
      </c>
      <c r="AI46">
        <v>6960000</v>
      </c>
      <c r="AJ46">
        <v>5686000</v>
      </c>
    </row>
    <row r="47" spans="1:36" x14ac:dyDescent="0.25">
      <c r="A47" s="10" t="s">
        <v>207</v>
      </c>
      <c r="B47" s="11">
        <v>20498446508.863686</v>
      </c>
      <c r="C47" s="1">
        <v>22601164181.519699</v>
      </c>
      <c r="D47">
        <v>7835921508.8636837</v>
      </c>
      <c r="E47">
        <v>-2819198194.8539186</v>
      </c>
      <c r="F47">
        <v>-2534309994.9147892</v>
      </c>
      <c r="G47">
        <v>-4367200020.1319418</v>
      </c>
      <c r="H47">
        <v>2573895743.43186</v>
      </c>
      <c r="L47">
        <v>-1094955678.521873</v>
      </c>
      <c r="M47">
        <v>3298729000</v>
      </c>
      <c r="N47">
        <v>2142078000</v>
      </c>
      <c r="O47">
        <v>-111434000</v>
      </c>
      <c r="P47">
        <v>-1023483000</v>
      </c>
      <c r="Q47">
        <v>-366146000</v>
      </c>
      <c r="R47">
        <v>-1081786000</v>
      </c>
      <c r="S47">
        <v>-1477552000</v>
      </c>
      <c r="T47">
        <v>-780047000</v>
      </c>
      <c r="U47">
        <v>-1719938000</v>
      </c>
      <c r="V47">
        <v>-641436000</v>
      </c>
      <c r="W47">
        <v>-117371000</v>
      </c>
      <c r="X47">
        <v>-891292000</v>
      </c>
      <c r="Y47">
        <v>-1507744000</v>
      </c>
      <c r="Z47">
        <v>-1006553000</v>
      </c>
      <c r="AA47">
        <v>-705575000</v>
      </c>
      <c r="AB47">
        <v>-87993000</v>
      </c>
      <c r="AC47">
        <v>451570000</v>
      </c>
      <c r="AD47">
        <v>51539000</v>
      </c>
      <c r="AE47">
        <v>-363476000</v>
      </c>
      <c r="AF47">
        <v>-609111000</v>
      </c>
      <c r="AG47">
        <v>-504426000</v>
      </c>
      <c r="AH47">
        <v>169351000</v>
      </c>
      <c r="AI47">
        <v>990036000</v>
      </c>
      <c r="AJ47">
        <v>931595000</v>
      </c>
    </row>
    <row r="48" spans="1:36" x14ac:dyDescent="0.25">
      <c r="A48" s="10" t="s">
        <v>208</v>
      </c>
      <c r="B48" s="11">
        <v>-20995120575.906578</v>
      </c>
      <c r="C48" s="1">
        <v>-18072381525.420738</v>
      </c>
      <c r="D48">
        <v>-12112276575.906576</v>
      </c>
      <c r="E48">
        <v>8618127241.3279552</v>
      </c>
      <c r="F48">
        <v>12859276212.606012</v>
      </c>
      <c r="G48">
        <v>12792336119.836428</v>
      </c>
      <c r="H48">
        <v>13341173916.894825</v>
      </c>
      <c r="L48">
        <v>18037527887.9519</v>
      </c>
      <c r="M48">
        <v>-595704000</v>
      </c>
      <c r="N48">
        <v>-649625000</v>
      </c>
      <c r="O48">
        <v>-536036000</v>
      </c>
      <c r="P48">
        <v>-459564000</v>
      </c>
      <c r="Q48">
        <v>-592872000</v>
      </c>
      <c r="R48">
        <v>-525356000</v>
      </c>
      <c r="S48">
        <v>-357031000</v>
      </c>
      <c r="T48">
        <v>-279105000</v>
      </c>
      <c r="U48">
        <v>-303412000</v>
      </c>
      <c r="V48">
        <v>-213395000</v>
      </c>
      <c r="W48">
        <v>-276118000</v>
      </c>
      <c r="X48">
        <v>-237308000</v>
      </c>
      <c r="Y48">
        <v>-175754000</v>
      </c>
      <c r="Z48">
        <v>-272508000</v>
      </c>
      <c r="AA48">
        <v>-232156000</v>
      </c>
      <c r="AB48">
        <v>-301833000</v>
      </c>
      <c r="AC48">
        <v>-311787000</v>
      </c>
      <c r="AD48">
        <v>-246738000</v>
      </c>
      <c r="AE48">
        <v>-210340000</v>
      </c>
      <c r="AF48">
        <v>-167094000</v>
      </c>
      <c r="AG48">
        <v>-169543000</v>
      </c>
      <c r="AH48">
        <v>-137856000</v>
      </c>
      <c r="AI48">
        <v>-80270000</v>
      </c>
      <c r="AJ48">
        <v>-45247000</v>
      </c>
    </row>
    <row r="49" spans="1:36" x14ac:dyDescent="0.25">
      <c r="A49" t="s">
        <v>209</v>
      </c>
      <c r="B49" s="1">
        <v>46468833534.856865</v>
      </c>
      <c r="C49" s="1">
        <v>39402870895.717056</v>
      </c>
      <c r="D49">
        <v>29938215534.856865</v>
      </c>
      <c r="E49">
        <v>15229274872.73241</v>
      </c>
      <c r="F49">
        <v>15665808718.696959</v>
      </c>
      <c r="G49">
        <v>9384765798.572197</v>
      </c>
      <c r="H49">
        <v>19071656013.752773</v>
      </c>
      <c r="L49">
        <v>23782370832.492554</v>
      </c>
      <c r="M49">
        <v>4451966000</v>
      </c>
      <c r="N49">
        <v>4289253000</v>
      </c>
      <c r="O49">
        <v>2667848000</v>
      </c>
      <c r="P49">
        <v>2998265000</v>
      </c>
      <c r="Q49">
        <v>2179877000</v>
      </c>
      <c r="R49">
        <v>2579782000</v>
      </c>
      <c r="S49">
        <v>2119992000</v>
      </c>
      <c r="T49">
        <v>2047617000</v>
      </c>
      <c r="U49">
        <v>2189201000</v>
      </c>
      <c r="V49">
        <v>1378356000</v>
      </c>
      <c r="W49">
        <v>920343000</v>
      </c>
      <c r="X49">
        <v>1216372000</v>
      </c>
      <c r="Y49">
        <v>-104987000</v>
      </c>
      <c r="Z49">
        <v>-241937000</v>
      </c>
      <c r="AA49">
        <v>757273000</v>
      </c>
      <c r="AB49">
        <v>511227000</v>
      </c>
      <c r="AC49">
        <v>300183000</v>
      </c>
      <c r="AD49">
        <v>447642000</v>
      </c>
      <c r="AE49">
        <v>326973000</v>
      </c>
      <c r="AF49">
        <v>777460000</v>
      </c>
      <c r="AG49">
        <v>197946000</v>
      </c>
      <c r="AH49">
        <v>809882000</v>
      </c>
      <c r="AI49">
        <v>1164324000</v>
      </c>
      <c r="AJ49">
        <v>1109116000</v>
      </c>
    </row>
    <row r="50" spans="1:36" x14ac:dyDescent="0.25">
      <c r="A50" t="s">
        <v>210</v>
      </c>
      <c r="B50" s="1"/>
      <c r="C50" s="1"/>
    </row>
    <row r="51" spans="1:36" x14ac:dyDescent="0.25">
      <c r="A51" t="s">
        <v>211</v>
      </c>
      <c r="B51" s="1"/>
      <c r="C51" s="1"/>
    </row>
    <row r="52" spans="1:36" x14ac:dyDescent="0.25">
      <c r="A52" t="s">
        <v>212</v>
      </c>
      <c r="B52" s="1"/>
      <c r="C52" s="1"/>
    </row>
    <row r="53" spans="1:36" x14ac:dyDescent="0.25">
      <c r="A53" t="s">
        <v>213</v>
      </c>
      <c r="B53" s="1"/>
      <c r="C53" s="1"/>
    </row>
    <row r="54" spans="1:36" x14ac:dyDescent="0.25">
      <c r="A54" t="s">
        <v>214</v>
      </c>
      <c r="B54" s="1">
        <v>-164490927.67502934</v>
      </c>
      <c r="C54" s="1">
        <v>-158996448.9006063</v>
      </c>
      <c r="D54">
        <v>-63087927.675029337</v>
      </c>
      <c r="E54">
        <v>-688122912.9365052</v>
      </c>
      <c r="F54">
        <v>-634628998.98374438</v>
      </c>
      <c r="G54">
        <v>-1899001000.8356764</v>
      </c>
      <c r="H54">
        <v>-1902727791.7565327</v>
      </c>
      <c r="L54">
        <v>-15287054.152459422</v>
      </c>
      <c r="M54">
        <v>-2401000</v>
      </c>
      <c r="N54">
        <v>-3089000</v>
      </c>
      <c r="O54">
        <v>-2571000</v>
      </c>
      <c r="P54">
        <v>-4634000</v>
      </c>
      <c r="Q54">
        <v>-4476000</v>
      </c>
      <c r="R54">
        <v>-3929000</v>
      </c>
      <c r="S54">
        <v>-4202000</v>
      </c>
      <c r="T54">
        <v>-12847000</v>
      </c>
      <c r="U54">
        <v>-12835000</v>
      </c>
      <c r="V54">
        <v>-15547000</v>
      </c>
      <c r="W54">
        <v>-14870000</v>
      </c>
      <c r="X54">
        <v>-4859000</v>
      </c>
      <c r="Y54">
        <v>-13216000</v>
      </c>
      <c r="Z54">
        <v>-10361000</v>
      </c>
      <c r="AA54">
        <v>-11022000</v>
      </c>
      <c r="AB54">
        <v>-8903000</v>
      </c>
      <c r="AC54">
        <v>-2035000</v>
      </c>
      <c r="AD54">
        <v>-2037000</v>
      </c>
      <c r="AE54">
        <v>-2036000</v>
      </c>
      <c r="AF54">
        <v>-1746000</v>
      </c>
      <c r="AG54">
        <v>-1548000</v>
      </c>
      <c r="AH54">
        <v>-1548000</v>
      </c>
      <c r="AI54">
        <v>-1548000</v>
      </c>
      <c r="AJ54">
        <v>-3754000</v>
      </c>
    </row>
    <row r="55" spans="1:36" x14ac:dyDescent="0.25">
      <c r="A55" t="s">
        <v>215</v>
      </c>
      <c r="B55" s="1"/>
      <c r="C55" s="1"/>
    </row>
    <row r="56" spans="1:36" x14ac:dyDescent="0.25">
      <c r="A56" t="s">
        <v>216</v>
      </c>
      <c r="B56" s="1"/>
      <c r="C56" s="1"/>
    </row>
    <row r="57" spans="1:36" x14ac:dyDescent="0.25">
      <c r="A57" t="s">
        <v>217</v>
      </c>
      <c r="B57" s="1"/>
      <c r="C57" s="1"/>
    </row>
    <row r="58" spans="1:36" x14ac:dyDescent="0.25">
      <c r="A58" t="s">
        <v>218</v>
      </c>
      <c r="B58" s="1"/>
      <c r="C58" s="1"/>
    </row>
    <row r="59" spans="1:36" x14ac:dyDescent="0.25">
      <c r="A59" t="s">
        <v>219</v>
      </c>
      <c r="B59" s="1"/>
      <c r="C59" s="1"/>
    </row>
    <row r="60" spans="1:36" x14ac:dyDescent="0.25">
      <c r="A60" t="s">
        <v>220</v>
      </c>
      <c r="B60" s="1"/>
      <c r="C60" s="1"/>
    </row>
    <row r="61" spans="1:36" x14ac:dyDescent="0.25">
      <c r="A61" t="s">
        <v>221</v>
      </c>
      <c r="B61" s="1"/>
      <c r="C61" s="1"/>
    </row>
    <row r="62" spans="1:36" x14ac:dyDescent="0.25">
      <c r="A62" t="s">
        <v>222</v>
      </c>
      <c r="B62" s="1">
        <v>-949072454.94403172</v>
      </c>
      <c r="C62" s="1">
        <v>-1306800714.8765459</v>
      </c>
      <c r="D62">
        <v>-984437454.94403172</v>
      </c>
      <c r="E62">
        <v>-609638792.16813803</v>
      </c>
      <c r="F62">
        <v>-501149662.27603579</v>
      </c>
      <c r="G62">
        <v>-499266870.14113927</v>
      </c>
      <c r="H62">
        <v>-551856023.6538713</v>
      </c>
      <c r="L62">
        <v>-1280740132.0117459</v>
      </c>
      <c r="M62">
        <v>-102233000</v>
      </c>
      <c r="N62">
        <v>-79810000</v>
      </c>
      <c r="O62">
        <v>-81612000</v>
      </c>
      <c r="P62">
        <v>-77292000</v>
      </c>
      <c r="Q62">
        <v>-74623000</v>
      </c>
      <c r="R62">
        <v>-68875000</v>
      </c>
      <c r="S62">
        <v>-43396000</v>
      </c>
      <c r="T62">
        <v>-40376000</v>
      </c>
      <c r="U62">
        <v>-38065000</v>
      </c>
      <c r="V62">
        <v>-44488000</v>
      </c>
      <c r="W62">
        <v>-45135000</v>
      </c>
      <c r="X62">
        <v>-44141000</v>
      </c>
      <c r="Y62">
        <v>-42380000</v>
      </c>
      <c r="Z62">
        <v>-34281000</v>
      </c>
      <c r="AA62">
        <v>-32362000</v>
      </c>
      <c r="AB62">
        <v>-25426000</v>
      </c>
      <c r="AC62">
        <v>-22737000</v>
      </c>
      <c r="AD62">
        <v>-19988000</v>
      </c>
      <c r="AE62">
        <v>-17287000</v>
      </c>
      <c r="AF62">
        <v>-16724000</v>
      </c>
      <c r="AG62">
        <v>-17205000</v>
      </c>
      <c r="AH62">
        <v>-27321000</v>
      </c>
      <c r="AI62">
        <v>-30436000</v>
      </c>
      <c r="AJ62">
        <v>-29233000</v>
      </c>
    </row>
    <row r="63" spans="1:36" x14ac:dyDescent="0.25">
      <c r="A63" t="s">
        <v>223</v>
      </c>
      <c r="B63" s="1">
        <v>-4166885101.6334209</v>
      </c>
      <c r="C63" s="1">
        <v>-4115728885.7596745</v>
      </c>
      <c r="D63">
        <v>-3902121101.6334209</v>
      </c>
      <c r="E63">
        <v>-3472085742.7316785</v>
      </c>
      <c r="F63">
        <v>-3023501112.5050845</v>
      </c>
      <c r="G63">
        <v>-2793524181.8241806</v>
      </c>
      <c r="H63">
        <v>-2509412395.5486021</v>
      </c>
      <c r="L63">
        <v>-2197137964.4612718</v>
      </c>
      <c r="M63">
        <v>-702088000</v>
      </c>
      <c r="N63">
        <v>-640741000</v>
      </c>
      <c r="O63">
        <v>-563644000</v>
      </c>
      <c r="P63">
        <v>-483788000</v>
      </c>
      <c r="Q63">
        <v>-369909000</v>
      </c>
      <c r="R63">
        <v>-317139000</v>
      </c>
      <c r="S63">
        <v>-272098000</v>
      </c>
      <c r="T63">
        <v>-275794000</v>
      </c>
      <c r="U63">
        <v>-241749000</v>
      </c>
      <c r="V63">
        <v>-222907000</v>
      </c>
      <c r="W63">
        <v>-205836000</v>
      </c>
      <c r="X63">
        <v>-190520000</v>
      </c>
      <c r="Y63">
        <v>-240235000</v>
      </c>
      <c r="Z63">
        <v>-242370000</v>
      </c>
      <c r="AA63">
        <v>-230815000</v>
      </c>
      <c r="AB63">
        <v>-204698000</v>
      </c>
      <c r="AC63">
        <v>-125889000</v>
      </c>
      <c r="AD63">
        <v>-106978000</v>
      </c>
      <c r="AE63">
        <v>-104102000</v>
      </c>
      <c r="AF63">
        <v>-96458000</v>
      </c>
      <c r="AG63">
        <v>-102825000</v>
      </c>
      <c r="AH63">
        <v>-104022000</v>
      </c>
      <c r="AI63">
        <v>-97998000</v>
      </c>
      <c r="AJ63">
        <v>-95602000</v>
      </c>
    </row>
    <row r="64" spans="1:36" x14ac:dyDescent="0.25">
      <c r="A64" t="s">
        <v>214</v>
      </c>
      <c r="B64" s="1">
        <v>-164490927.67502934</v>
      </c>
      <c r="C64" s="1">
        <v>-158996448.9006063</v>
      </c>
      <c r="D64">
        <v>-63087927.675029337</v>
      </c>
      <c r="E64">
        <v>-688122912.9365052</v>
      </c>
      <c r="F64">
        <v>-634628998.98374438</v>
      </c>
      <c r="G64">
        <v>-1899001000.8356764</v>
      </c>
      <c r="H64">
        <v>-1902727791.7565327</v>
      </c>
      <c r="L64">
        <v>-15287054.152459422</v>
      </c>
      <c r="M64">
        <v>-2401000</v>
      </c>
      <c r="N64">
        <v>-3089000</v>
      </c>
      <c r="O64">
        <v>-2571000</v>
      </c>
      <c r="P64">
        <v>-4634000</v>
      </c>
      <c r="Q64">
        <v>-4476000</v>
      </c>
      <c r="R64">
        <v>-3929000</v>
      </c>
      <c r="S64">
        <v>-4202000</v>
      </c>
      <c r="T64">
        <v>-12847000</v>
      </c>
      <c r="U64">
        <v>-12835000</v>
      </c>
      <c r="V64">
        <v>-15547000</v>
      </c>
      <c r="W64">
        <v>-14870000</v>
      </c>
      <c r="X64">
        <v>-4859000</v>
      </c>
      <c r="Y64">
        <v>-13216000</v>
      </c>
      <c r="Z64">
        <v>-10361000</v>
      </c>
      <c r="AA64">
        <v>-11022000</v>
      </c>
      <c r="AB64">
        <v>-8903000</v>
      </c>
      <c r="AC64">
        <v>-2035000</v>
      </c>
      <c r="AD64">
        <v>-2037000</v>
      </c>
      <c r="AE64">
        <v>-2036000</v>
      </c>
      <c r="AF64">
        <v>-1746000</v>
      </c>
      <c r="AG64">
        <v>-1548000</v>
      </c>
      <c r="AH64">
        <v>-1548000</v>
      </c>
      <c r="AI64">
        <v>-1548000</v>
      </c>
      <c r="AJ64">
        <v>-3754000</v>
      </c>
    </row>
    <row r="65" spans="1:36" x14ac:dyDescent="0.25">
      <c r="A65" t="s">
        <v>224</v>
      </c>
      <c r="B65" s="1"/>
      <c r="C65" s="1"/>
    </row>
    <row r="66" spans="1:36" x14ac:dyDescent="0.25">
      <c r="A66" t="s">
        <v>225</v>
      </c>
      <c r="B66" s="1"/>
      <c r="C66" s="1"/>
    </row>
    <row r="67" spans="1:36" x14ac:dyDescent="0.25">
      <c r="B67" s="1"/>
      <c r="C67" s="1"/>
    </row>
    <row r="68" spans="1:36" x14ac:dyDescent="0.25">
      <c r="A68" t="s">
        <v>226</v>
      </c>
      <c r="B68" s="1">
        <v>-26372831995.444302</v>
      </c>
      <c r="C68" s="1">
        <v>-27491810625.767616</v>
      </c>
      <c r="D68">
        <v>-24907370995.444302</v>
      </c>
      <c r="E68">
        <v>-21257578558.255211</v>
      </c>
      <c r="F68">
        <v>-16797039422.899343</v>
      </c>
      <c r="G68">
        <v>-14937055099.62142</v>
      </c>
      <c r="H68">
        <v>-19677942759.441994</v>
      </c>
      <c r="L68">
        <v>-19969720568.533596</v>
      </c>
      <c r="M68">
        <v>-5837148000</v>
      </c>
      <c r="N68">
        <v>-5161862000</v>
      </c>
      <c r="O68">
        <v>-4174095000</v>
      </c>
      <c r="P68">
        <v>-3505944000</v>
      </c>
      <c r="Q68">
        <v>-2713172000</v>
      </c>
      <c r="R68">
        <v>-2317045000</v>
      </c>
      <c r="S68">
        <v>-2097174000</v>
      </c>
      <c r="T68">
        <v>-2001277000</v>
      </c>
      <c r="U68">
        <v>-1863532000</v>
      </c>
      <c r="V68">
        <v>-1777908000</v>
      </c>
      <c r="W68">
        <v>-1708895000</v>
      </c>
      <c r="X68">
        <v>-1695069000</v>
      </c>
      <c r="Y68">
        <v>-2305875000</v>
      </c>
      <c r="Z68">
        <v>-2200297000</v>
      </c>
      <c r="AA68">
        <v>-1981927000</v>
      </c>
      <c r="AB68">
        <v>-1746003000</v>
      </c>
      <c r="AC68">
        <v>-662324000</v>
      </c>
      <c r="AD68">
        <v>-585855000</v>
      </c>
      <c r="AE68">
        <v>-599679000</v>
      </c>
      <c r="AF68">
        <v>-568246000</v>
      </c>
      <c r="AG68">
        <v>-539735000</v>
      </c>
      <c r="AH68">
        <v>-488218000</v>
      </c>
      <c r="AI68">
        <v>-420840000</v>
      </c>
      <c r="AJ68">
        <v>-359443000</v>
      </c>
    </row>
    <row r="69" spans="1:36" x14ac:dyDescent="0.25">
      <c r="A69" t="s">
        <v>227</v>
      </c>
      <c r="B69" s="1"/>
    </row>
    <row r="70" spans="1:36" x14ac:dyDescent="0.25">
      <c r="A70" t="s">
        <v>228</v>
      </c>
      <c r="B70" s="1"/>
    </row>
    <row r="71" spans="1:36" x14ac:dyDescent="0.25">
      <c r="A71" t="s">
        <v>229</v>
      </c>
      <c r="B71" s="1"/>
    </row>
    <row r="72" spans="1:36" x14ac:dyDescent="0.25">
      <c r="A72" t="s">
        <v>230</v>
      </c>
      <c r="B72" s="1"/>
    </row>
    <row r="73" spans="1:36" x14ac:dyDescent="0.25">
      <c r="A73" t="s">
        <v>231</v>
      </c>
      <c r="B73" s="1"/>
    </row>
    <row r="74" spans="1:36" x14ac:dyDescent="0.25">
      <c r="A74" t="s">
        <v>232</v>
      </c>
      <c r="B74" s="1"/>
    </row>
    <row r="75" spans="1:36" x14ac:dyDescent="0.25">
      <c r="A75" t="s">
        <v>233</v>
      </c>
      <c r="B75" s="1"/>
    </row>
    <row r="76" spans="1:36" x14ac:dyDescent="0.25">
      <c r="A76" t="s">
        <v>220</v>
      </c>
      <c r="B76" s="1"/>
    </row>
    <row r="77" spans="1:36" x14ac:dyDescent="0.25">
      <c r="A77" t="s">
        <v>219</v>
      </c>
      <c r="B77" s="1"/>
    </row>
    <row r="78" spans="1:36" x14ac:dyDescent="0.25">
      <c r="A78" t="s">
        <v>234</v>
      </c>
      <c r="B78" s="1">
        <v>598401093.28192806</v>
      </c>
      <c r="C78">
        <v>592924337.64935744</v>
      </c>
      <c r="D78">
        <v>775171093.28192806</v>
      </c>
      <c r="E78">
        <v>1041455013.9087511</v>
      </c>
      <c r="F78">
        <v>809115369.5984391</v>
      </c>
      <c r="G78">
        <v>713202385.23732078</v>
      </c>
      <c r="H78">
        <v>518362438.43847203</v>
      </c>
      <c r="L78">
        <v>200921585.0175865</v>
      </c>
      <c r="M78">
        <v>10057000</v>
      </c>
      <c r="N78">
        <v>6483000</v>
      </c>
      <c r="O78">
        <v>5440000</v>
      </c>
      <c r="P78">
        <v>6400000</v>
      </c>
      <c r="Q78">
        <v>14290000</v>
      </c>
      <c r="R78">
        <v>13507000</v>
      </c>
      <c r="S78">
        <v>14441000</v>
      </c>
      <c r="T78">
        <v>13249000</v>
      </c>
      <c r="U78">
        <v>3381000</v>
      </c>
      <c r="V78">
        <v>3636000</v>
      </c>
      <c r="W78">
        <v>2788000</v>
      </c>
      <c r="X78">
        <v>2939000</v>
      </c>
      <c r="Y78">
        <v>1360000</v>
      </c>
      <c r="Z78">
        <v>1186000</v>
      </c>
      <c r="AA78">
        <v>1200000</v>
      </c>
      <c r="AB78">
        <v>1057000</v>
      </c>
      <c r="AC78">
        <v>141000</v>
      </c>
      <c r="AD78">
        <v>248000</v>
      </c>
      <c r="AE78">
        <v>996000</v>
      </c>
      <c r="AF78">
        <v>1279000</v>
      </c>
      <c r="AG78">
        <v>1554000</v>
      </c>
      <c r="AH78">
        <v>1505000</v>
      </c>
      <c r="AI78">
        <v>863000</v>
      </c>
      <c r="AJ78">
        <v>786000</v>
      </c>
    </row>
    <row r="79" spans="1:36" x14ac:dyDescent="0.25">
      <c r="A79" t="s">
        <v>235</v>
      </c>
      <c r="B79" s="1">
        <v>-25982472610.191654</v>
      </c>
      <c r="C79">
        <v>-27308860417.772148</v>
      </c>
      <c r="D79">
        <v>-24850318610.191654</v>
      </c>
      <c r="E79">
        <v>-23194277828.285767</v>
      </c>
      <c r="F79">
        <v>-18741181282.15406</v>
      </c>
      <c r="G79">
        <v>-16549856492.596476</v>
      </c>
      <c r="H79">
        <v>-20968223421.981339</v>
      </c>
      <c r="L79">
        <v>-20498314052.910107</v>
      </c>
      <c r="M79">
        <v>-5571336000</v>
      </c>
      <c r="N79">
        <v>-4887293000</v>
      </c>
      <c r="O79">
        <v>-3985954000</v>
      </c>
      <c r="P79">
        <v>-3439341000</v>
      </c>
      <c r="Q79">
        <v>-2794699000</v>
      </c>
      <c r="R79">
        <v>-2474307000</v>
      </c>
      <c r="S79">
        <v>-2213656000</v>
      </c>
      <c r="T79">
        <v>-2080789000</v>
      </c>
      <c r="U79">
        <v>-1911346000</v>
      </c>
      <c r="V79">
        <v>-1799299000</v>
      </c>
      <c r="W79">
        <v>-1684888000</v>
      </c>
      <c r="X79">
        <v>-1656858000</v>
      </c>
      <c r="Y79">
        <v>-2258534000</v>
      </c>
      <c r="Z79">
        <v>-2135295000</v>
      </c>
      <c r="AA79">
        <v>-1979099000</v>
      </c>
      <c r="AB79">
        <v>-1738434000</v>
      </c>
      <c r="AC79">
        <v>-634269000</v>
      </c>
      <c r="AD79">
        <v>-571836000</v>
      </c>
      <c r="AE79">
        <v>-593046000</v>
      </c>
      <c r="AF79">
        <v>-561464000</v>
      </c>
      <c r="AG79">
        <v>-526742000</v>
      </c>
      <c r="AH79">
        <v>-473014000</v>
      </c>
      <c r="AI79">
        <v>-401377000</v>
      </c>
      <c r="AJ79">
        <v>-352576000</v>
      </c>
    </row>
    <row r="80" spans="1:36" x14ac:dyDescent="0.25">
      <c r="A80" t="s">
        <v>236</v>
      </c>
      <c r="B80" s="1"/>
    </row>
    <row r="81" spans="1:36" x14ac:dyDescent="0.25">
      <c r="A81" t="s">
        <v>237</v>
      </c>
      <c r="B81" s="1"/>
    </row>
    <row r="82" spans="1:36" x14ac:dyDescent="0.25">
      <c r="A82" t="s">
        <v>238</v>
      </c>
      <c r="B82" s="1"/>
    </row>
    <row r="83" spans="1:36" x14ac:dyDescent="0.25">
      <c r="A83" t="s">
        <v>239</v>
      </c>
      <c r="B83" s="1"/>
    </row>
    <row r="84" spans="1:36" x14ac:dyDescent="0.25">
      <c r="A84" t="s">
        <v>240</v>
      </c>
      <c r="B84" s="1"/>
    </row>
    <row r="85" spans="1:36" x14ac:dyDescent="0.25">
      <c r="A85" t="s">
        <v>241</v>
      </c>
      <c r="B85" s="1"/>
    </row>
    <row r="86" spans="1:36" x14ac:dyDescent="0.25">
      <c r="A86" t="s">
        <v>242</v>
      </c>
      <c r="B86" s="1"/>
    </row>
    <row r="87" spans="1:36" x14ac:dyDescent="0.25">
      <c r="A87" t="s">
        <v>243</v>
      </c>
      <c r="B87" s="1"/>
    </row>
    <row r="88" spans="1:36" x14ac:dyDescent="0.25">
      <c r="A88" t="s">
        <v>244</v>
      </c>
      <c r="B88" s="1"/>
    </row>
    <row r="89" spans="1:36" x14ac:dyDescent="0.25">
      <c r="A89" t="s">
        <v>245</v>
      </c>
      <c r="B89" s="1"/>
    </row>
    <row r="90" spans="1:36" x14ac:dyDescent="0.25">
      <c r="A90" t="s">
        <v>246</v>
      </c>
      <c r="B90" s="1"/>
      <c r="C90">
        <v>0</v>
      </c>
      <c r="D90">
        <v>0</v>
      </c>
      <c r="E90">
        <v>0</v>
      </c>
      <c r="G90">
        <v>0</v>
      </c>
      <c r="H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6039000</v>
      </c>
      <c r="T90">
        <v>6039000</v>
      </c>
      <c r="U90">
        <v>-1155000</v>
      </c>
      <c r="V90">
        <v>-1155000</v>
      </c>
      <c r="W90">
        <v>-6039000</v>
      </c>
      <c r="X90">
        <v>-6039000</v>
      </c>
      <c r="AB90">
        <v>0</v>
      </c>
    </row>
    <row r="91" spans="1:36" x14ac:dyDescent="0.25">
      <c r="A91" t="s">
        <v>247</v>
      </c>
      <c r="B91" s="1"/>
    </row>
    <row r="92" spans="1:36" x14ac:dyDescent="0.25">
      <c r="A92" t="s">
        <v>248</v>
      </c>
      <c r="B92" s="1"/>
    </row>
    <row r="93" spans="1:36" x14ac:dyDescent="0.25">
      <c r="A93" t="s">
        <v>211</v>
      </c>
      <c r="B93" s="1">
        <v>58322583.878117375</v>
      </c>
      <c r="D93">
        <v>52211583.878117375</v>
      </c>
      <c r="E93">
        <v>56963280.789645195</v>
      </c>
      <c r="F93">
        <v>61241080.867543973</v>
      </c>
      <c r="H93">
        <v>25923780.607550617</v>
      </c>
      <c r="L93">
        <v>16614458.964816229</v>
      </c>
      <c r="M93">
        <v>4783000</v>
      </c>
      <c r="N93">
        <v>11956000</v>
      </c>
      <c r="O93">
        <v>6997000</v>
      </c>
      <c r="P93">
        <v>6997000</v>
      </c>
      <c r="Q93">
        <v>7394000</v>
      </c>
      <c r="R93">
        <v>222000</v>
      </c>
      <c r="S93">
        <v>2027000</v>
      </c>
      <c r="T93">
        <v>5436000</v>
      </c>
      <c r="U93">
        <v>9832000</v>
      </c>
      <c r="V93">
        <v>9832000</v>
      </c>
      <c r="W93">
        <v>8027000</v>
      </c>
      <c r="X93">
        <v>4618000</v>
      </c>
      <c r="Y93">
        <v>38000</v>
      </c>
      <c r="Z93">
        <v>1762000</v>
      </c>
      <c r="AA93">
        <v>4522000</v>
      </c>
      <c r="AB93">
        <v>5222000</v>
      </c>
      <c r="AC93">
        <v>5184000</v>
      </c>
      <c r="AD93">
        <v>3460000</v>
      </c>
      <c r="AE93">
        <v>700000</v>
      </c>
      <c r="AF93">
        <v>8938000</v>
      </c>
      <c r="AG93">
        <v>8938000</v>
      </c>
      <c r="AH93">
        <v>8938000</v>
      </c>
      <c r="AI93">
        <v>8938000</v>
      </c>
      <c r="AJ93">
        <v>8171000</v>
      </c>
    </row>
    <row r="94" spans="1:36" x14ac:dyDescent="0.25">
      <c r="A94" t="s">
        <v>212</v>
      </c>
      <c r="B94" s="1"/>
    </row>
    <row r="95" spans="1:36" x14ac:dyDescent="0.25">
      <c r="A95" t="s">
        <v>213</v>
      </c>
      <c r="B95" s="1"/>
    </row>
    <row r="96" spans="1:36" x14ac:dyDescent="0.25">
      <c r="A96" t="s">
        <v>215</v>
      </c>
      <c r="B96" s="1"/>
    </row>
    <row r="97" spans="1:36" x14ac:dyDescent="0.25">
      <c r="A97" t="s">
        <v>216</v>
      </c>
      <c r="B97" s="1"/>
    </row>
    <row r="98" spans="1:36" x14ac:dyDescent="0.25">
      <c r="A98" t="s">
        <v>214</v>
      </c>
      <c r="B98" s="1"/>
    </row>
    <row r="99" spans="1:36" x14ac:dyDescent="0.25">
      <c r="A99" t="s">
        <v>224</v>
      </c>
      <c r="B99" s="1">
        <v>-1047083062.4126948</v>
      </c>
      <c r="C99">
        <v>-828086129.52294993</v>
      </c>
      <c r="D99">
        <v>-884435062.41269481</v>
      </c>
      <c r="E99">
        <v>838280975.33216119</v>
      </c>
      <c r="F99">
        <v>1073785408.7887366</v>
      </c>
      <c r="G99">
        <v>873675227.13018441</v>
      </c>
      <c r="H99">
        <v>745994443.49332285</v>
      </c>
      <c r="L99">
        <v>311057440.39410985</v>
      </c>
      <c r="M99">
        <v>-280652000</v>
      </c>
      <c r="N99">
        <v>-293008000</v>
      </c>
      <c r="O99">
        <v>-200578000</v>
      </c>
      <c r="P99">
        <v>-80000000</v>
      </c>
      <c r="Q99">
        <v>59843000</v>
      </c>
      <c r="R99">
        <v>143533000</v>
      </c>
      <c r="S99">
        <v>93975000</v>
      </c>
      <c r="T99">
        <v>54788000</v>
      </c>
      <c r="U99">
        <v>35756000</v>
      </c>
      <c r="V99">
        <v>9078000</v>
      </c>
      <c r="W99">
        <v>-28783000</v>
      </c>
      <c r="X99">
        <v>-39729000</v>
      </c>
      <c r="Y99">
        <v>-49894000</v>
      </c>
      <c r="Z99">
        <v>-69105000</v>
      </c>
      <c r="AA99">
        <v>-8550000</v>
      </c>
      <c r="AB99">
        <v>-13848000</v>
      </c>
      <c r="AC99">
        <v>-33380000</v>
      </c>
      <c r="AD99">
        <v>-17727000</v>
      </c>
      <c r="AE99">
        <v>-8329000</v>
      </c>
      <c r="AF99">
        <v>-16999000</v>
      </c>
      <c r="AG99">
        <v>-23485000</v>
      </c>
      <c r="AH99">
        <v>-25647000</v>
      </c>
      <c r="AI99">
        <v>-29264000</v>
      </c>
      <c r="AJ99">
        <v>-15824000</v>
      </c>
    </row>
    <row r="100" spans="1:36" x14ac:dyDescent="0.25">
      <c r="A100" t="s">
        <v>225</v>
      </c>
      <c r="B100" s="1"/>
    </row>
    <row r="101" spans="1:36" x14ac:dyDescent="0.25">
      <c r="B101" s="1"/>
    </row>
    <row r="102" spans="1:36" x14ac:dyDescent="0.25">
      <c r="A102" t="s">
        <v>249</v>
      </c>
      <c r="B102" s="1">
        <v>2110847471.6693687</v>
      </c>
      <c r="C102">
        <v>6476666842.9164371</v>
      </c>
      <c r="D102">
        <v>11687625471.669369</v>
      </c>
      <c r="E102">
        <v>16689963603.715315</v>
      </c>
      <c r="F102">
        <v>11709296101.16172</v>
      </c>
      <c r="G102">
        <v>12312479757.313473</v>
      </c>
      <c r="H102">
        <v>6992903358.2835121</v>
      </c>
      <c r="L102">
        <v>8079176955.8831444</v>
      </c>
      <c r="M102">
        <v>1951816000</v>
      </c>
      <c r="N102">
        <v>1141676000</v>
      </c>
      <c r="O102">
        <v>1034856000</v>
      </c>
      <c r="P102">
        <v>-754301000</v>
      </c>
      <c r="Q102">
        <v>170443000</v>
      </c>
      <c r="R102">
        <v>752792000</v>
      </c>
      <c r="S102">
        <v>1431498000</v>
      </c>
      <c r="T102">
        <v>742088000</v>
      </c>
      <c r="U102">
        <v>38490000</v>
      </c>
      <c r="V102">
        <v>625329000</v>
      </c>
      <c r="W102">
        <v>240699000</v>
      </c>
      <c r="X102">
        <v>1130660000</v>
      </c>
      <c r="Y102">
        <v>1423433000</v>
      </c>
      <c r="Z102">
        <v>881127000</v>
      </c>
      <c r="AA102">
        <v>3533786000</v>
      </c>
      <c r="AB102">
        <v>3268754000</v>
      </c>
      <c r="AC102">
        <v>3178883000</v>
      </c>
      <c r="AD102">
        <v>2998525000</v>
      </c>
      <c r="AE102">
        <v>6411000</v>
      </c>
      <c r="AF102">
        <v>-21154000</v>
      </c>
      <c r="AG102">
        <v>-120143000</v>
      </c>
      <c r="AH102">
        <v>-165518000</v>
      </c>
      <c r="AI102">
        <v>-208030000</v>
      </c>
      <c r="AJ102">
        <v>-222580000</v>
      </c>
    </row>
    <row r="103" spans="1:36" x14ac:dyDescent="0.25">
      <c r="A103" t="s">
        <v>250</v>
      </c>
      <c r="B103" s="1"/>
    </row>
    <row r="104" spans="1:36" x14ac:dyDescent="0.25">
      <c r="A104" t="s">
        <v>251</v>
      </c>
      <c r="B104" s="1"/>
    </row>
    <row r="105" spans="1:36" x14ac:dyDescent="0.25">
      <c r="A105" t="s">
        <v>252</v>
      </c>
      <c r="B105" s="1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-5019000</v>
      </c>
      <c r="AB105">
        <v>2936723000</v>
      </c>
      <c r="AC105">
        <v>2936723000</v>
      </c>
      <c r="AD105">
        <v>2941742000</v>
      </c>
      <c r="AF105">
        <v>0</v>
      </c>
    </row>
    <row r="106" spans="1:36" x14ac:dyDescent="0.25">
      <c r="A106" t="s">
        <v>253</v>
      </c>
      <c r="B106" s="1"/>
    </row>
    <row r="107" spans="1:36" x14ac:dyDescent="0.25">
      <c r="A107" t="s">
        <v>254</v>
      </c>
      <c r="B107" s="1"/>
    </row>
    <row r="108" spans="1:36" x14ac:dyDescent="0.25">
      <c r="A108" t="s">
        <v>255</v>
      </c>
      <c r="B108" s="1"/>
    </row>
    <row r="109" spans="1:36" x14ac:dyDescent="0.25">
      <c r="A109" t="s">
        <v>256</v>
      </c>
      <c r="B109" s="1"/>
    </row>
    <row r="110" spans="1:36" x14ac:dyDescent="0.25">
      <c r="A110" t="s">
        <v>257</v>
      </c>
      <c r="B110" s="1">
        <v>30307618331.642174</v>
      </c>
      <c r="C110">
        <v>37148273690.485237</v>
      </c>
      <c r="D110">
        <v>40346070331.642174</v>
      </c>
      <c r="E110">
        <v>45147543722.755707</v>
      </c>
      <c r="F110">
        <v>33920704521.612335</v>
      </c>
      <c r="G110">
        <v>33750498103.870674</v>
      </c>
      <c r="H110">
        <v>32875338225.099178</v>
      </c>
      <c r="L110">
        <v>29679617705.444828</v>
      </c>
      <c r="M110">
        <v>7919160000</v>
      </c>
      <c r="N110">
        <v>7111607000</v>
      </c>
      <c r="O110">
        <v>9010121000</v>
      </c>
      <c r="P110">
        <v>6008589000</v>
      </c>
      <c r="Q110">
        <v>8738709000</v>
      </c>
      <c r="R110">
        <v>8664361000</v>
      </c>
      <c r="S110">
        <v>6813994000</v>
      </c>
      <c r="T110">
        <v>6854552000</v>
      </c>
      <c r="U110">
        <v>4694879000</v>
      </c>
      <c r="V110">
        <v>3373216000</v>
      </c>
      <c r="W110">
        <v>3055424000</v>
      </c>
      <c r="X110">
        <v>3568237000</v>
      </c>
      <c r="Y110">
        <v>2599024000</v>
      </c>
      <c r="Z110">
        <v>2243137000</v>
      </c>
      <c r="AA110">
        <v>1822277000</v>
      </c>
      <c r="AB110">
        <v>1128345000</v>
      </c>
      <c r="AC110">
        <v>1216412000</v>
      </c>
      <c r="AD110">
        <v>951943000</v>
      </c>
      <c r="AE110">
        <v>799246000</v>
      </c>
      <c r="AF110">
        <v>905412000</v>
      </c>
      <c r="AG110">
        <v>519988000</v>
      </c>
      <c r="AH110">
        <v>591113000</v>
      </c>
      <c r="AI110">
        <v>528476000</v>
      </c>
      <c r="AJ110">
        <v>410750000</v>
      </c>
    </row>
    <row r="111" spans="1:36" x14ac:dyDescent="0.25">
      <c r="A111" t="s">
        <v>258</v>
      </c>
      <c r="B111" s="1">
        <v>-27998841704.132908</v>
      </c>
      <c r="C111">
        <v>-30473677691.728897</v>
      </c>
      <c r="D111">
        <v>-28460515704.132908</v>
      </c>
      <c r="E111">
        <v>-28311102039.209122</v>
      </c>
      <c r="F111">
        <v>-21842101595.124207</v>
      </c>
      <c r="G111">
        <v>-21068711521.230793</v>
      </c>
      <c r="H111">
        <v>-25513128041.489262</v>
      </c>
      <c r="L111">
        <v>-20902780026.616398</v>
      </c>
      <c r="M111">
        <v>-5863952000</v>
      </c>
      <c r="N111">
        <v>-5866539000</v>
      </c>
      <c r="O111">
        <v>-7871873000</v>
      </c>
      <c r="P111">
        <v>-6659498000</v>
      </c>
      <c r="Q111">
        <v>-8427736000</v>
      </c>
      <c r="R111">
        <v>-7659372000</v>
      </c>
      <c r="S111">
        <v>-5130299000</v>
      </c>
      <c r="T111">
        <v>-5860267000</v>
      </c>
      <c r="U111">
        <v>-4486722000</v>
      </c>
      <c r="V111">
        <v>-2631887000</v>
      </c>
      <c r="W111">
        <v>-2640725000</v>
      </c>
      <c r="X111">
        <v>-2263577000</v>
      </c>
      <c r="Y111">
        <v>-1190967000</v>
      </c>
      <c r="Z111">
        <v>-1495524000</v>
      </c>
      <c r="AA111">
        <v>-1414395000</v>
      </c>
      <c r="AB111">
        <v>-991092000</v>
      </c>
      <c r="AC111">
        <v>-1020574000</v>
      </c>
      <c r="AD111">
        <v>-845415000</v>
      </c>
      <c r="AE111">
        <v>-728572000</v>
      </c>
      <c r="AF111">
        <v>-863072000</v>
      </c>
      <c r="AG111">
        <v>-581749000</v>
      </c>
      <c r="AH111">
        <v>-716800000</v>
      </c>
      <c r="AI111">
        <v>-705742000</v>
      </c>
      <c r="AJ111">
        <v>-600364000</v>
      </c>
    </row>
    <row r="112" spans="1:36" x14ac:dyDescent="0.25">
      <c r="A112" t="s">
        <v>259</v>
      </c>
      <c r="B112" s="1"/>
    </row>
    <row r="113" spans="1:36" x14ac:dyDescent="0.25">
      <c r="A113" t="s">
        <v>260</v>
      </c>
      <c r="B113" s="1"/>
    </row>
    <row r="114" spans="1:36" x14ac:dyDescent="0.25">
      <c r="A114" t="s">
        <v>261</v>
      </c>
      <c r="B114" s="1"/>
    </row>
    <row r="115" spans="1:36" x14ac:dyDescent="0.25">
      <c r="A115" t="s">
        <v>246</v>
      </c>
      <c r="B115" s="1"/>
    </row>
    <row r="116" spans="1:36" x14ac:dyDescent="0.25">
      <c r="A116" t="s">
        <v>247</v>
      </c>
      <c r="B116" s="1"/>
    </row>
    <row r="117" spans="1:36" x14ac:dyDescent="0.25">
      <c r="A117" t="s">
        <v>248</v>
      </c>
      <c r="B117" s="1"/>
    </row>
    <row r="118" spans="1:36" x14ac:dyDescent="0.25">
      <c r="A118" t="s">
        <v>210</v>
      </c>
      <c r="B118" s="1">
        <v>-197929155.83989871</v>
      </c>
      <c r="C118">
        <v>-197929155.83989871</v>
      </c>
      <c r="D118">
        <v>-197929155.83989871</v>
      </c>
      <c r="E118">
        <v>-146478079.83126593</v>
      </c>
      <c r="F118">
        <v>-369306825.32640481</v>
      </c>
      <c r="G118">
        <v>-369306825.32640481</v>
      </c>
      <c r="H118">
        <v>-369306825.32640481</v>
      </c>
      <c r="L118">
        <v>-697660722.94528294</v>
      </c>
      <c r="M118">
        <v>-103392000</v>
      </c>
      <c r="N118">
        <v>-103392000</v>
      </c>
      <c r="O118">
        <v>-103392000</v>
      </c>
      <c r="P118">
        <v>-103392000</v>
      </c>
      <c r="Q118">
        <v>-140530000</v>
      </c>
      <c r="R118">
        <v>-252197000</v>
      </c>
      <c r="S118">
        <v>-252197000</v>
      </c>
      <c r="T118">
        <v>-252197000</v>
      </c>
      <c r="U118">
        <v>-169667000</v>
      </c>
      <c r="V118">
        <v>-116000000</v>
      </c>
      <c r="W118">
        <v>-174000000</v>
      </c>
      <c r="X118">
        <v>-174000000</v>
      </c>
      <c r="Y118">
        <v>-144200000</v>
      </c>
      <c r="Z118">
        <v>-114400000</v>
      </c>
      <c r="AB118">
        <v>-84600000</v>
      </c>
      <c r="AC118">
        <v>-77733000</v>
      </c>
      <c r="AD118">
        <v>-78533000</v>
      </c>
      <c r="AF118">
        <v>-75500000</v>
      </c>
      <c r="AG118">
        <v>-68167000</v>
      </c>
      <c r="AH118">
        <v>-53167000</v>
      </c>
      <c r="AI118">
        <v>-42000000</v>
      </c>
      <c r="AJ118">
        <v>-42000000</v>
      </c>
    </row>
    <row r="119" spans="1:36" x14ac:dyDescent="0.25">
      <c r="A119" t="s">
        <v>212</v>
      </c>
      <c r="B119" s="1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-12641000</v>
      </c>
      <c r="Z119">
        <v>-16808000</v>
      </c>
      <c r="AA119">
        <v>-24188000</v>
      </c>
      <c r="AB119">
        <v>-25142000</v>
      </c>
      <c r="AC119">
        <v>-14746000</v>
      </c>
      <c r="AD119">
        <v>-16643000</v>
      </c>
      <c r="AE119">
        <v>-13009000</v>
      </c>
      <c r="AF119">
        <v>-15508000</v>
      </c>
      <c r="AG119">
        <v>-16131000</v>
      </c>
      <c r="AH119">
        <v>-12022000</v>
      </c>
      <c r="AI119">
        <v>-9624000</v>
      </c>
      <c r="AJ119">
        <v>-7510000</v>
      </c>
    </row>
    <row r="120" spans="1:36" x14ac:dyDescent="0.25">
      <c r="A120" t="s">
        <v>213</v>
      </c>
      <c r="B120" s="1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172217000</v>
      </c>
      <c r="Z120">
        <v>269741000</v>
      </c>
      <c r="AA120">
        <v>297969000</v>
      </c>
      <c r="AB120">
        <v>304520000</v>
      </c>
      <c r="AC120">
        <v>138801000</v>
      </c>
      <c r="AD120">
        <v>45431000</v>
      </c>
      <c r="AE120">
        <v>24246000</v>
      </c>
      <c r="AF120">
        <v>27514000</v>
      </c>
      <c r="AG120">
        <v>25916000</v>
      </c>
      <c r="AH120">
        <v>25370000</v>
      </c>
      <c r="AI120">
        <v>20883000</v>
      </c>
      <c r="AJ120">
        <v>16611000</v>
      </c>
    </row>
    <row r="121" spans="1:36" x14ac:dyDescent="0.25">
      <c r="A121" t="s">
        <v>215</v>
      </c>
      <c r="B121" s="1"/>
    </row>
    <row r="122" spans="1:36" x14ac:dyDescent="0.25">
      <c r="A122" t="s">
        <v>216</v>
      </c>
      <c r="B122" s="1"/>
    </row>
    <row r="123" spans="1:36" x14ac:dyDescent="0.25">
      <c r="A123" t="s">
        <v>214</v>
      </c>
      <c r="B123" s="1"/>
    </row>
    <row r="124" spans="1:36" x14ac:dyDescent="0.25">
      <c r="A124" t="s">
        <v>224</v>
      </c>
      <c r="B124" s="1"/>
    </row>
    <row r="125" spans="1:36" x14ac:dyDescent="0.25">
      <c r="A125" t="s">
        <v>225</v>
      </c>
      <c r="B125" s="1"/>
    </row>
    <row r="126" spans="1:36" x14ac:dyDescent="0.25">
      <c r="A126" t="s">
        <v>262</v>
      </c>
      <c r="B126" s="1">
        <v>16926400526.829453</v>
      </c>
      <c r="C126">
        <v>12806201063.32905</v>
      </c>
      <c r="D126">
        <v>11768823526.829451</v>
      </c>
      <c r="E126">
        <v>5891812470.3561878</v>
      </c>
      <c r="F126">
        <v>6418785623.1944695</v>
      </c>
      <c r="G126">
        <v>1568398403.4632492</v>
      </c>
      <c r="H126">
        <v>1422620401.6352835</v>
      </c>
      <c r="L126">
        <v>8398662069.2166214</v>
      </c>
      <c r="M126">
        <v>-240088000</v>
      </c>
      <c r="N126">
        <v>-454573000</v>
      </c>
      <c r="O126">
        <v>-1119218000</v>
      </c>
      <c r="P126">
        <v>-1827694000</v>
      </c>
      <c r="Q126">
        <v>-811860000</v>
      </c>
      <c r="R126">
        <v>625586000</v>
      </c>
      <c r="S126">
        <v>1134620000</v>
      </c>
      <c r="T126">
        <v>459411000</v>
      </c>
      <c r="U126">
        <v>71510000</v>
      </c>
      <c r="V126">
        <v>-57165000</v>
      </c>
      <c r="W126">
        <v>-813694000</v>
      </c>
      <c r="X126">
        <v>412443000</v>
      </c>
      <c r="Y126">
        <v>-1283260000</v>
      </c>
      <c r="Z126">
        <v>-1848119000</v>
      </c>
      <c r="AA126">
        <v>2034933000</v>
      </c>
      <c r="AB126">
        <v>1794951000</v>
      </c>
      <c r="AC126">
        <v>2666081000</v>
      </c>
      <c r="AD126">
        <v>2731309000</v>
      </c>
      <c r="AE126">
        <v>-389720000</v>
      </c>
      <c r="AF126">
        <v>73132000</v>
      </c>
      <c r="AG126">
        <v>-583510000</v>
      </c>
      <c r="AH126">
        <v>23255000</v>
      </c>
      <c r="AI126">
        <v>405472000</v>
      </c>
      <c r="AJ126">
        <v>398504000</v>
      </c>
    </row>
    <row r="127" spans="1:36" x14ac:dyDescent="0.25">
      <c r="A127" t="s">
        <v>263</v>
      </c>
      <c r="B127" s="1">
        <v>-3722481810.6088543</v>
      </c>
      <c r="C127">
        <v>-3748744511.6739407</v>
      </c>
      <c r="D127">
        <v>-3477146810.6088543</v>
      </c>
      <c r="E127">
        <v>-4630901009.1122952</v>
      </c>
      <c r="F127">
        <v>-6794486096.5243921</v>
      </c>
      <c r="G127">
        <v>-6074178931.4527216</v>
      </c>
      <c r="H127">
        <v>-6082773196.166955</v>
      </c>
      <c r="L127">
        <v>-3979389490.5344796</v>
      </c>
      <c r="M127">
        <v>281552000</v>
      </c>
      <c r="N127">
        <v>165365000</v>
      </c>
      <c r="O127">
        <v>126378000</v>
      </c>
      <c r="P127">
        <v>240544000</v>
      </c>
      <c r="Q127">
        <v>181080000</v>
      </c>
      <c r="R127">
        <v>235949000</v>
      </c>
      <c r="S127">
        <v>188651000</v>
      </c>
      <c r="T127">
        <v>105942000</v>
      </c>
      <c r="U127">
        <v>110965000</v>
      </c>
      <c r="V127">
        <v>95999000</v>
      </c>
      <c r="W127">
        <v>93164000</v>
      </c>
      <c r="X127">
        <v>13573000</v>
      </c>
      <c r="Y127">
        <v>-2145000</v>
      </c>
      <c r="Z127">
        <v>19102000</v>
      </c>
      <c r="AA127">
        <v>29606000</v>
      </c>
      <c r="AB127">
        <v>30685000</v>
      </c>
      <c r="AC127">
        <v>46073000</v>
      </c>
      <c r="AD127">
        <v>27249000</v>
      </c>
      <c r="AE127">
        <v>-4475000</v>
      </c>
      <c r="AF127">
        <v>20727000</v>
      </c>
      <c r="AG127">
        <v>95292000</v>
      </c>
      <c r="AH127">
        <v>104820000</v>
      </c>
      <c r="AI127">
        <v>128295000</v>
      </c>
      <c r="AJ127">
        <v>89237000</v>
      </c>
    </row>
    <row r="128" spans="1:36" x14ac:dyDescent="0.25">
      <c r="A128" t="s">
        <v>264</v>
      </c>
      <c r="B128" s="1">
        <v>13203918716.220596</v>
      </c>
      <c r="C128">
        <v>9057456551.6551056</v>
      </c>
      <c r="D128">
        <v>8291676716.2205954</v>
      </c>
      <c r="E128">
        <v>1260911461.2438917</v>
      </c>
      <c r="F128">
        <v>-375700473.32992458</v>
      </c>
      <c r="G128">
        <v>-4505780527.9894724</v>
      </c>
      <c r="H128">
        <v>-4660152794.5316725</v>
      </c>
      <c r="L128">
        <v>4419272578.6821404</v>
      </c>
      <c r="M128">
        <v>41464000</v>
      </c>
      <c r="N128">
        <v>-289208000</v>
      </c>
      <c r="O128">
        <v>-992840000</v>
      </c>
      <c r="P128">
        <v>-1587150000</v>
      </c>
      <c r="Q128">
        <v>-630780000</v>
      </c>
      <c r="R128">
        <v>861535000</v>
      </c>
      <c r="S128">
        <v>1323271000</v>
      </c>
      <c r="T128">
        <v>565353000</v>
      </c>
      <c r="U128">
        <v>182475000</v>
      </c>
      <c r="V128">
        <v>38834000</v>
      </c>
      <c r="W128">
        <v>-720530000</v>
      </c>
      <c r="X128">
        <v>426016000</v>
      </c>
      <c r="Y128">
        <v>-1285405000</v>
      </c>
      <c r="Z128">
        <v>-1829017000</v>
      </c>
      <c r="AA128">
        <v>2064539000</v>
      </c>
      <c r="AB128">
        <v>1825636000</v>
      </c>
      <c r="AC128">
        <v>2712154000</v>
      </c>
      <c r="AD128">
        <v>2758558000</v>
      </c>
      <c r="AE128">
        <v>-394195000</v>
      </c>
      <c r="AF128">
        <v>93859000</v>
      </c>
      <c r="AG128">
        <v>-488218000</v>
      </c>
      <c r="AH128">
        <v>128075000</v>
      </c>
      <c r="AI128">
        <v>533767000</v>
      </c>
      <c r="AJ128">
        <v>487741000</v>
      </c>
    </row>
    <row r="129" spans="1:36" x14ac:dyDescent="0.25">
      <c r="A129" t="s">
        <v>265</v>
      </c>
      <c r="B129" s="1">
        <v>19411334112.570076</v>
      </c>
      <c r="C129">
        <v>19411378940.782173</v>
      </c>
      <c r="D129">
        <v>11119673112.570076</v>
      </c>
      <c r="E129">
        <v>11119670362.306486</v>
      </c>
      <c r="F129">
        <v>11119714246.007191</v>
      </c>
      <c r="G129">
        <v>11119685390.481373</v>
      </c>
      <c r="H129">
        <v>15779825907.101749</v>
      </c>
      <c r="L129">
        <v>11360553657.982769</v>
      </c>
      <c r="M129">
        <v>2491606000</v>
      </c>
      <c r="N129">
        <v>2491605000</v>
      </c>
      <c r="O129">
        <v>2491606000</v>
      </c>
      <c r="P129">
        <v>4078756000</v>
      </c>
      <c r="Q129">
        <v>4078756000</v>
      </c>
      <c r="R129">
        <v>4078756000</v>
      </c>
      <c r="S129">
        <v>4078756000</v>
      </c>
      <c r="T129">
        <v>3513403000</v>
      </c>
      <c r="U129">
        <v>3513403000</v>
      </c>
      <c r="V129">
        <v>3513403000</v>
      </c>
      <c r="W129">
        <v>3513402000</v>
      </c>
      <c r="X129">
        <v>3087387000</v>
      </c>
      <c r="Y129">
        <v>3087386000</v>
      </c>
      <c r="Z129">
        <v>3087386000</v>
      </c>
      <c r="AA129">
        <v>3087387000</v>
      </c>
      <c r="AB129">
        <v>1261752000</v>
      </c>
      <c r="AC129">
        <v>1261753000</v>
      </c>
      <c r="AD129">
        <v>1261753000</v>
      </c>
      <c r="AE129">
        <v>1261753000</v>
      </c>
      <c r="AF129">
        <v>1167894000</v>
      </c>
      <c r="AG129">
        <v>1167894000</v>
      </c>
      <c r="AH129">
        <v>1167894000</v>
      </c>
      <c r="AI129">
        <v>1167894000</v>
      </c>
      <c r="AJ129">
        <v>680153000</v>
      </c>
    </row>
    <row r="130" spans="1:36" x14ac:dyDescent="0.25">
      <c r="A130" t="s">
        <v>266</v>
      </c>
      <c r="B130" s="1">
        <v>32615252828.790672</v>
      </c>
      <c r="C130">
        <v>28468835492.437283</v>
      </c>
      <c r="D130">
        <v>19411349828.790672</v>
      </c>
      <c r="E130">
        <v>12380581823.550377</v>
      </c>
      <c r="F130">
        <v>10744013772.677263</v>
      </c>
      <c r="G130">
        <v>6613904862.4918966</v>
      </c>
      <c r="H130">
        <v>11119673112.570076</v>
      </c>
      <c r="L130">
        <v>15779826236.664907</v>
      </c>
      <c r="M130">
        <v>2533070000</v>
      </c>
      <c r="N130">
        <v>2202397000</v>
      </c>
      <c r="O130">
        <v>1498766000</v>
      </c>
      <c r="P130">
        <v>2491606000</v>
      </c>
      <c r="Q130">
        <v>3447976000</v>
      </c>
      <c r="R130">
        <v>4940291000</v>
      </c>
      <c r="S130">
        <v>5402027000</v>
      </c>
      <c r="T130">
        <v>4078756000</v>
      </c>
      <c r="U130">
        <v>3695878000</v>
      </c>
      <c r="V130">
        <v>3552237000</v>
      </c>
      <c r="W130">
        <v>2792872000</v>
      </c>
      <c r="X130">
        <v>3513403000</v>
      </c>
      <c r="Y130">
        <v>1801981000</v>
      </c>
      <c r="Z130">
        <v>1258369000</v>
      </c>
      <c r="AA130">
        <v>5151926000</v>
      </c>
      <c r="AB130">
        <v>3087388000</v>
      </c>
      <c r="AC130">
        <v>3973907000</v>
      </c>
      <c r="AD130">
        <v>4020311000</v>
      </c>
      <c r="AE130">
        <v>867558000</v>
      </c>
      <c r="AF130">
        <v>1261753000</v>
      </c>
      <c r="AG130">
        <v>679676000</v>
      </c>
      <c r="AH130">
        <v>1295969000</v>
      </c>
      <c r="AI130">
        <v>1701661000</v>
      </c>
      <c r="AJ130">
        <v>1167894000</v>
      </c>
    </row>
  </sheetData>
  <pageMargins left="0.7" right="0.7" top="0.75" bottom="0.75" header="0.3" footer="0.3"/>
  <ignoredErrors>
    <ignoredError sqref="A1:AM1 A3:AM28 A2 D2:AM2 A30:AM130 A29:B29 D29:AM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Sayfa1</vt:lpstr>
      <vt:lpstr>Nakit Akış (Çeyreklik)</vt:lpstr>
      <vt:lpstr>Nakit Akış (Yıllıklan.)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murat çakal</cp:lastModifiedBy>
  <dcterms:modified xsi:type="dcterms:W3CDTF">2025-12-01T22:21:10Z</dcterms:modified>
</cp:coreProperties>
</file>